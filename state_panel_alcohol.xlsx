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" sheetId="1" state="visible" r:id="rId1"/>
    <sheet xmlns:r="http://schemas.openxmlformats.org/officeDocument/2006/relationships" name="ols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2E4057"/>
      <sz val="12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A3A5C"/>
      <sz val="10"/>
    </font>
    <font>
      <name val="Arial"/>
      <i val="1"/>
      <color rgb="007F6000"/>
      <sz val="10"/>
    </font>
    <font>
      <name val="Arial"/>
      <i val="1"/>
      <color rgb="00276221"/>
      <sz val="9"/>
    </font>
    <font>
      <name val="Arial"/>
      <color rgb="00555555"/>
      <sz val="9"/>
    </font>
    <font>
      <name val="Arial"/>
      <sz val="9"/>
    </font>
    <font>
      <name val="Arial"/>
      <b val="1"/>
      <sz val="10"/>
    </font>
    <font>
      <name val="Arial"/>
      <b val="1"/>
      <color rgb="002E4057"/>
      <sz val="10"/>
    </font>
    <font>
      <name val="Arial"/>
      <color rgb="007B3800"/>
      <sz val="10"/>
    </font>
    <font>
      <name val="Arial"/>
      <color rgb="001A4D1A"/>
      <sz val="10"/>
    </font>
  </fonts>
  <fills count="8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D9E8F5"/>
        <bgColor rgb="00D9E8F5"/>
      </patternFill>
    </fill>
    <fill>
      <patternFill patternType="solid">
        <fgColor rgb="00FFF2CC"/>
        <bgColor rgb="00FFF2CC"/>
      </patternFill>
    </fill>
    <fill>
      <patternFill patternType="solid">
        <fgColor rgb="00E8F5E9"/>
        <bgColor rgb="00E8F5E9"/>
      </patternFill>
    </fill>
    <fill>
      <patternFill patternType="solid">
        <fgColor rgb="00FFE0B2"/>
        <bgColor rgb="00FFE0B2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5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3" fillId="2" borderId="0" pivotButton="0" quotePrefix="0" xfId="0"/>
    <xf numFmtId="0" fontId="3" fillId="2" borderId="0" applyAlignment="1" pivotButton="0" quotePrefix="0" xfId="0">
      <alignment vertical="top" wrapText="1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11" fillId="6" borderId="1" applyAlignment="1" pivotButton="0" quotePrefix="0" xfId="0">
      <alignment horizontal="center"/>
    </xf>
    <xf numFmtId="0" fontId="12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ECO102 — Panel Data: Maryland &amp; Virginia, 2005–2016</t>
        </is>
      </c>
    </row>
    <row r="2">
      <c r="A2" s="2" t="inlineStr">
        <is>
          <t>🔵 Blue = confirmed (Census/FRED)    🟢 Green = directly verified this session from primary source    🟠 Orange = estimated (needs CDAN verification)    income_pc sources: MD=BEA via MD State Archives; VA=FRED VAPCPI</t>
        </is>
      </c>
    </row>
    <row r="4">
      <c r="A4" s="3" t="inlineStr">
        <is>
          <t>state</t>
        </is>
      </c>
      <c r="B4" s="3" t="inlineStr">
        <is>
          <t>year</t>
        </is>
      </c>
      <c r="C4" s="3" t="inlineStr">
        <is>
          <t>fatality_rate
(per 100k)</t>
        </is>
      </c>
      <c r="D4" s="3" t="inlineStr">
        <is>
          <t>treated
(MD=1, VA=0)</t>
        </is>
      </c>
      <c r="E4" s="3" t="inlineStr">
        <is>
          <t>post
(≥2011=1)</t>
        </is>
      </c>
      <c r="F4" s="3" t="inlineStr">
        <is>
          <t>did
(treated×post)</t>
        </is>
      </c>
      <c r="G4" s="3" t="inlineStr">
        <is>
          <t>unemployment
(%)</t>
        </is>
      </c>
      <c r="H4" s="3" t="inlineStr">
        <is>
          <t>income_pc
($)</t>
        </is>
      </c>
      <c r="I4" s="3" t="inlineStr">
        <is>
          <t>pop_density
(per sq mi)</t>
        </is>
      </c>
      <c r="J4" s="3" t="inlineStr">
        <is>
          <t>log_income
[computed by R]</t>
        </is>
      </c>
    </row>
    <row r="5">
      <c r="A5" s="4" t="inlineStr">
        <is>
          <t>Maryland</t>
        </is>
      </c>
      <c r="B5" s="4" t="n">
        <v>2005</v>
      </c>
      <c r="C5" s="4" t="n">
        <v>2.946</v>
      </c>
      <c r="D5" s="4" t="n">
        <v>1</v>
      </c>
      <c r="E5" s="4" t="n">
        <v>0</v>
      </c>
      <c r="F5" s="4" t="n">
        <v>0</v>
      </c>
      <c r="G5" s="4" t="n">
        <v>4.2</v>
      </c>
      <c r="H5" s="14" t="n">
        <v>43515</v>
      </c>
      <c r="I5" s="4" t="n">
        <v>594.8</v>
      </c>
      <c r="J5" s="4">
        <f>LN(H5)</f>
        <v/>
      </c>
    </row>
    <row r="6">
      <c r="A6" s="4" t="inlineStr">
        <is>
          <t>Maryland</t>
        </is>
      </c>
      <c r="B6" s="4" t="n">
        <v>2006</v>
      </c>
      <c r="C6" s="4" t="n">
        <v>3.437</v>
      </c>
      <c r="D6" s="4" t="n">
        <v>1</v>
      </c>
      <c r="E6" s="4" t="n">
        <v>0</v>
      </c>
      <c r="F6" s="4" t="n">
        <v>0</v>
      </c>
      <c r="G6" s="4" t="n">
        <v>3.9</v>
      </c>
      <c r="H6" s="14" t="n">
        <v>45576</v>
      </c>
      <c r="I6" s="4" t="n">
        <v>594.8</v>
      </c>
      <c r="J6" s="4">
        <f>LN(H6)</f>
        <v/>
      </c>
    </row>
    <row r="7">
      <c r="A7" s="4" t="inlineStr">
        <is>
          <t>Maryland</t>
        </is>
      </c>
      <c r="B7" s="4" t="n">
        <v>2007</v>
      </c>
      <c r="C7" s="4" t="n">
        <v>3.159</v>
      </c>
      <c r="D7" s="4" t="n">
        <v>1</v>
      </c>
      <c r="E7" s="4" t="n">
        <v>0</v>
      </c>
      <c r="F7" s="4" t="n">
        <v>0</v>
      </c>
      <c r="G7" s="4" t="n">
        <v>3.4</v>
      </c>
      <c r="H7" s="14" t="n">
        <v>47327</v>
      </c>
      <c r="I7" s="4" t="n">
        <v>594.8</v>
      </c>
      <c r="J7" s="4">
        <f>LN(H7)</f>
        <v/>
      </c>
    </row>
    <row r="8">
      <c r="A8" s="4" t="inlineStr">
        <is>
          <t>Maryland</t>
        </is>
      </c>
      <c r="B8" s="4" t="n">
        <v>2008</v>
      </c>
      <c r="C8" s="4" t="n">
        <v>2.687</v>
      </c>
      <c r="D8" s="4" t="n">
        <v>1</v>
      </c>
      <c r="E8" s="4" t="n">
        <v>0</v>
      </c>
      <c r="F8" s="4" t="n">
        <v>0</v>
      </c>
      <c r="G8" s="4" t="n">
        <v>4.3</v>
      </c>
      <c r="H8" s="14" t="n">
        <v>49186</v>
      </c>
      <c r="I8" s="4" t="n">
        <v>594.8</v>
      </c>
      <c r="J8" s="4">
        <f>LN(H8)</f>
        <v/>
      </c>
    </row>
    <row r="9">
      <c r="A9" s="4" t="inlineStr">
        <is>
          <t>Maryland</t>
        </is>
      </c>
      <c r="B9" s="4" t="n">
        <v>2009</v>
      </c>
      <c r="C9" s="4" t="n">
        <v>2.842</v>
      </c>
      <c r="D9" s="4" t="n">
        <v>1</v>
      </c>
      <c r="E9" s="4" t="n">
        <v>0</v>
      </c>
      <c r="F9" s="4" t="n">
        <v>0</v>
      </c>
      <c r="G9" s="4" t="n">
        <v>7.1</v>
      </c>
      <c r="H9" s="14" t="n">
        <v>48448</v>
      </c>
      <c r="I9" s="4" t="n">
        <v>594.8</v>
      </c>
      <c r="J9" s="4">
        <f>LN(H9)</f>
        <v/>
      </c>
    </row>
    <row r="10">
      <c r="A10" s="4" t="inlineStr">
        <is>
          <t>Maryland</t>
        </is>
      </c>
      <c r="B10" s="4" t="n">
        <v>2010</v>
      </c>
      <c r="C10" s="13" t="n">
        <v>2.702</v>
      </c>
      <c r="D10" s="4" t="n">
        <v>1</v>
      </c>
      <c r="E10" s="4" t="n">
        <v>0</v>
      </c>
      <c r="F10" s="4" t="n">
        <v>0</v>
      </c>
      <c r="G10" s="4" t="n">
        <v>7.8</v>
      </c>
      <c r="H10" s="14" t="n">
        <v>49668</v>
      </c>
      <c r="I10" s="4" t="n">
        <v>594.8</v>
      </c>
      <c r="J10" s="4">
        <f>LN(H10)</f>
        <v/>
      </c>
    </row>
    <row r="11">
      <c r="A11" s="4" t="inlineStr">
        <is>
          <t>Maryland</t>
        </is>
      </c>
      <c r="B11" s="4" t="n">
        <v>2011</v>
      </c>
      <c r="C11" s="13" t="n">
        <v>2.602</v>
      </c>
      <c r="D11" s="4" t="n">
        <v>1</v>
      </c>
      <c r="E11" s="4" t="n">
        <v>1</v>
      </c>
      <c r="F11" s="4" t="n">
        <v>1</v>
      </c>
      <c r="G11" s="4" t="n">
        <v>7.3</v>
      </c>
      <c r="H11" s="14" t="n">
        <v>51845</v>
      </c>
      <c r="I11" s="4" t="n">
        <v>594.8</v>
      </c>
      <c r="J11" s="4">
        <f>LN(H11)</f>
        <v/>
      </c>
    </row>
    <row r="12">
      <c r="A12" s="4" t="inlineStr">
        <is>
          <t>Maryland</t>
        </is>
      </c>
      <c r="B12" s="4" t="n">
        <v>2012</v>
      </c>
      <c r="C12" s="13" t="n">
        <v>2.378</v>
      </c>
      <c r="D12" s="4" t="n">
        <v>1</v>
      </c>
      <c r="E12" s="4" t="n">
        <v>1</v>
      </c>
      <c r="F12" s="4" t="n">
        <v>1</v>
      </c>
      <c r="G12" s="4" t="n">
        <v>6.9</v>
      </c>
      <c r="H12" s="14" t="n">
        <v>52787</v>
      </c>
      <c r="I12" s="4" t="n">
        <v>594.8</v>
      </c>
      <c r="J12" s="4">
        <f>LN(H12)</f>
        <v/>
      </c>
    </row>
    <row r="13">
      <c r="A13" s="4" t="inlineStr">
        <is>
          <t>Maryland</t>
        </is>
      </c>
      <c r="B13" s="4" t="n">
        <v>2013</v>
      </c>
      <c r="C13" s="13" t="n">
        <v>2.408</v>
      </c>
      <c r="D13" s="4" t="n">
        <v>1</v>
      </c>
      <c r="E13" s="4" t="n">
        <v>1</v>
      </c>
      <c r="F13" s="4" t="n">
        <v>1</v>
      </c>
      <c r="G13" s="4" t="n">
        <v>6.6</v>
      </c>
      <c r="H13" s="14" t="n">
        <v>52249</v>
      </c>
      <c r="I13" s="4" t="n">
        <v>594.8</v>
      </c>
      <c r="J13" s="4">
        <f>LN(H13)</f>
        <v/>
      </c>
    </row>
    <row r="14">
      <c r="A14" s="4" t="inlineStr">
        <is>
          <t>Maryland</t>
        </is>
      </c>
      <c r="B14" s="4" t="n">
        <v>2014</v>
      </c>
      <c r="C14" s="13" t="n">
        <v>2.476</v>
      </c>
      <c r="D14" s="4" t="n">
        <v>1</v>
      </c>
      <c r="E14" s="4" t="n">
        <v>1</v>
      </c>
      <c r="F14" s="4" t="n">
        <v>1</v>
      </c>
      <c r="G14" s="4" t="n">
        <v>5.7</v>
      </c>
      <c r="H14" s="14" t="n">
        <v>53659</v>
      </c>
      <c r="I14" s="4" t="n">
        <v>594.8</v>
      </c>
      <c r="J14" s="4">
        <f>LN(H14)</f>
        <v/>
      </c>
    </row>
    <row r="15">
      <c r="A15" s="4" t="inlineStr">
        <is>
          <t>Maryland</t>
        </is>
      </c>
      <c r="B15" s="4" t="n">
        <v>2015</v>
      </c>
      <c r="C15" s="4" t="n">
        <v>2.647</v>
      </c>
      <c r="D15" s="4" t="n">
        <v>1</v>
      </c>
      <c r="E15" s="4" t="n">
        <v>1</v>
      </c>
      <c r="F15" s="4" t="n">
        <v>1</v>
      </c>
      <c r="G15" s="4" t="n">
        <v>5</v>
      </c>
      <c r="H15" s="14" t="n">
        <v>55825</v>
      </c>
      <c r="I15" s="4" t="n">
        <v>594.8</v>
      </c>
      <c r="J15" s="4">
        <f>LN(H15)</f>
        <v/>
      </c>
    </row>
    <row r="16">
      <c r="A16" s="4" t="inlineStr">
        <is>
          <t>Maryland</t>
        </is>
      </c>
      <c r="B16" s="4" t="n">
        <v>2016</v>
      </c>
      <c r="C16" s="4" t="n">
        <v>2.161</v>
      </c>
      <c r="D16" s="4" t="n">
        <v>1</v>
      </c>
      <c r="E16" s="4" t="n">
        <v>1</v>
      </c>
      <c r="F16" s="4" t="n">
        <v>1</v>
      </c>
      <c r="G16" s="4" t="n">
        <v>4.2</v>
      </c>
      <c r="H16" s="14" t="n">
        <v>57632</v>
      </c>
      <c r="I16" s="4" t="n">
        <v>594.8</v>
      </c>
      <c r="J16" s="4">
        <f>LN(H16)</f>
        <v/>
      </c>
    </row>
    <row r="17">
      <c r="A17" s="4" t="inlineStr">
        <is>
          <t>Virginia</t>
        </is>
      </c>
      <c r="B17" s="4" t="n">
        <v>2005</v>
      </c>
      <c r="C17" s="4" t="n">
        <v>3.687</v>
      </c>
      <c r="D17" s="4" t="n">
        <v>0</v>
      </c>
      <c r="E17" s="4" t="n">
        <v>0</v>
      </c>
      <c r="F17" s="4" t="n">
        <v>0</v>
      </c>
      <c r="G17" s="4" t="n">
        <v>3.5</v>
      </c>
      <c r="H17" s="14" t="n">
        <v>40027</v>
      </c>
      <c r="I17" s="4" t="n">
        <v>202.6</v>
      </c>
      <c r="J17" s="4">
        <f>LN(H17)</f>
        <v/>
      </c>
    </row>
    <row r="18">
      <c r="A18" s="4" t="inlineStr">
        <is>
          <t>Virginia</t>
        </is>
      </c>
      <c r="B18" s="4" t="n">
        <v>2006</v>
      </c>
      <c r="C18" s="4" t="n">
        <v>3.906</v>
      </c>
      <c r="D18" s="4" t="n">
        <v>0</v>
      </c>
      <c r="E18" s="4" t="n">
        <v>0</v>
      </c>
      <c r="F18" s="4" t="n">
        <v>0</v>
      </c>
      <c r="G18" s="4" t="n">
        <v>3.1</v>
      </c>
      <c r="H18" s="14" t="n">
        <v>42164</v>
      </c>
      <c r="I18" s="4" t="n">
        <v>202.6</v>
      </c>
      <c r="J18" s="4">
        <f>LN(H18)</f>
        <v/>
      </c>
    </row>
    <row r="19">
      <c r="A19" s="4" t="inlineStr">
        <is>
          <t>Virginia</t>
        </is>
      </c>
      <c r="B19" s="4" t="n">
        <v>2007</v>
      </c>
      <c r="C19" s="4" t="n">
        <v>3.901</v>
      </c>
      <c r="D19" s="4" t="n">
        <v>0</v>
      </c>
      <c r="E19" s="4" t="n">
        <v>0</v>
      </c>
      <c r="F19" s="4" t="n">
        <v>0</v>
      </c>
      <c r="G19" s="4" t="n">
        <v>3.1</v>
      </c>
      <c r="H19" s="14" t="n">
        <v>44020</v>
      </c>
      <c r="I19" s="4" t="n">
        <v>202.6</v>
      </c>
      <c r="J19" s="4">
        <f>LN(H19)</f>
        <v/>
      </c>
    </row>
    <row r="20">
      <c r="A20" s="4" t="inlineStr">
        <is>
          <t>Virginia</t>
        </is>
      </c>
      <c r="B20" s="4" t="n">
        <v>2008</v>
      </c>
      <c r="C20" s="4" t="n">
        <v>3.753</v>
      </c>
      <c r="D20" s="4" t="n">
        <v>0</v>
      </c>
      <c r="E20" s="4" t="n">
        <v>0</v>
      </c>
      <c r="F20" s="4" t="n">
        <v>0</v>
      </c>
      <c r="G20" s="4" t="n">
        <v>4.1</v>
      </c>
      <c r="H20" s="14" t="n">
        <v>45383</v>
      </c>
      <c r="I20" s="4" t="n">
        <v>202.6</v>
      </c>
      <c r="J20" s="4">
        <f>LN(H20)</f>
        <v/>
      </c>
    </row>
    <row r="21">
      <c r="A21" s="4" t="inlineStr">
        <is>
          <t>Virginia</t>
        </is>
      </c>
      <c r="B21" s="4" t="n">
        <v>2009</v>
      </c>
      <c r="C21" s="13" t="n">
        <v>3.311</v>
      </c>
      <c r="D21" s="4" t="n">
        <v>0</v>
      </c>
      <c r="E21" s="4" t="n">
        <v>0</v>
      </c>
      <c r="F21" s="4" t="n">
        <v>0</v>
      </c>
      <c r="G21" s="4" t="n">
        <v>6.8</v>
      </c>
      <c r="H21" s="14" t="n">
        <v>44091</v>
      </c>
      <c r="I21" s="4" t="n">
        <v>202.6</v>
      </c>
      <c r="J21" s="4">
        <f>LN(H21)</f>
        <v/>
      </c>
    </row>
    <row r="22">
      <c r="A22" s="4" t="inlineStr">
        <is>
          <t>Virginia</t>
        </is>
      </c>
      <c r="B22" s="4" t="n">
        <v>2010</v>
      </c>
      <c r="C22" s="13" t="n">
        <v>2.817</v>
      </c>
      <c r="D22" s="4" t="n">
        <v>0</v>
      </c>
      <c r="E22" s="4" t="n">
        <v>0</v>
      </c>
      <c r="F22" s="4" t="n">
        <v>0</v>
      </c>
      <c r="G22" s="4" t="n">
        <v>6.8</v>
      </c>
      <c r="H22" s="14" t="n">
        <v>45442</v>
      </c>
      <c r="I22" s="4" t="n">
        <v>202.6</v>
      </c>
      <c r="J22" s="4">
        <f>LN(H22)</f>
        <v/>
      </c>
    </row>
    <row r="23">
      <c r="A23" s="4" t="inlineStr">
        <is>
          <t>Virginia</t>
        </is>
      </c>
      <c r="B23" s="4" t="n">
        <v>2011</v>
      </c>
      <c r="C23" s="13" t="n">
        <v>2.495</v>
      </c>
      <c r="D23" s="4" t="n">
        <v>0</v>
      </c>
      <c r="E23" s="4" t="n">
        <v>1</v>
      </c>
      <c r="F23" s="4" t="n">
        <v>0</v>
      </c>
      <c r="G23" s="4" t="n">
        <v>6.3</v>
      </c>
      <c r="H23" s="14" t="n">
        <v>47563</v>
      </c>
      <c r="I23" s="4" t="n">
        <v>202.6</v>
      </c>
      <c r="J23" s="4">
        <f>LN(H23)</f>
        <v/>
      </c>
    </row>
    <row r="24">
      <c r="A24" s="4" t="inlineStr">
        <is>
          <t>Virginia</t>
        </is>
      </c>
      <c r="B24" s="4" t="n">
        <v>2012</v>
      </c>
      <c r="C24" s="13" t="n">
        <v>2.309</v>
      </c>
      <c r="D24" s="4" t="n">
        <v>0</v>
      </c>
      <c r="E24" s="4" t="n">
        <v>1</v>
      </c>
      <c r="F24" s="4" t="n">
        <v>0</v>
      </c>
      <c r="G24" s="4" t="n">
        <v>5.8</v>
      </c>
      <c r="H24" s="14" t="n">
        <v>49049</v>
      </c>
      <c r="I24" s="4" t="n">
        <v>202.6</v>
      </c>
      <c r="J24" s="4">
        <f>LN(H24)</f>
        <v/>
      </c>
    </row>
    <row r="25">
      <c r="A25" s="4" t="inlineStr">
        <is>
          <t>Virginia</t>
        </is>
      </c>
      <c r="B25" s="4" t="n">
        <v>2013</v>
      </c>
      <c r="C25" s="13" t="n">
        <v>2.53</v>
      </c>
      <c r="D25" s="4" t="n">
        <v>0</v>
      </c>
      <c r="E25" s="4" t="n">
        <v>1</v>
      </c>
      <c r="F25" s="4" t="n">
        <v>0</v>
      </c>
      <c r="G25" s="4" t="n">
        <v>5.5</v>
      </c>
      <c r="H25" s="14" t="n">
        <v>48195</v>
      </c>
      <c r="I25" s="4" t="n">
        <v>202.6</v>
      </c>
      <c r="J25" s="4">
        <f>LN(H25)</f>
        <v/>
      </c>
    </row>
    <row r="26">
      <c r="A26" s="4" t="inlineStr">
        <is>
          <t>Virginia</t>
        </is>
      </c>
      <c r="B26" s="4" t="n">
        <v>2014</v>
      </c>
      <c r="C26" s="13" t="n">
        <v>2.498</v>
      </c>
      <c r="D26" s="4" t="n">
        <v>0</v>
      </c>
      <c r="E26" s="4" t="n">
        <v>1</v>
      </c>
      <c r="F26" s="4" t="n">
        <v>0</v>
      </c>
      <c r="G26" s="4" t="n">
        <v>5.1</v>
      </c>
      <c r="H26" s="14" t="n">
        <v>49760</v>
      </c>
      <c r="I26" s="4" t="n">
        <v>202.6</v>
      </c>
      <c r="J26" s="4">
        <f>LN(H26)</f>
        <v/>
      </c>
    </row>
    <row r="27">
      <c r="A27" s="4" t="inlineStr">
        <is>
          <t>Virginia</t>
        </is>
      </c>
      <c r="B27" s="4" t="n">
        <v>2015</v>
      </c>
      <c r="C27" s="13" t="n">
        <v>2.386</v>
      </c>
      <c r="D27" s="4" t="n">
        <v>0</v>
      </c>
      <c r="E27" s="4" t="n">
        <v>1</v>
      </c>
      <c r="F27" s="4" t="n">
        <v>0</v>
      </c>
      <c r="G27" s="4" t="n">
        <v>4.4</v>
      </c>
      <c r="H27" s="14" t="n">
        <v>51617</v>
      </c>
      <c r="I27" s="4" t="n">
        <v>202.6</v>
      </c>
      <c r="J27" s="4">
        <f>LN(H27)</f>
        <v/>
      </c>
    </row>
    <row r="28">
      <c r="A28" s="4" t="inlineStr">
        <is>
          <t>Virginia</t>
        </is>
      </c>
      <c r="B28" s="4" t="n">
        <v>2016</v>
      </c>
      <c r="C28" s="13" t="n">
        <v>2.568</v>
      </c>
      <c r="D28" s="4" t="n">
        <v>0</v>
      </c>
      <c r="E28" s="4" t="n">
        <v>1</v>
      </c>
      <c r="F28" s="4" t="n">
        <v>0</v>
      </c>
      <c r="G28" s="4" t="n">
        <v>4</v>
      </c>
      <c r="H28" s="14" t="n">
        <v>52656</v>
      </c>
      <c r="I28" s="4" t="n">
        <v>202.6</v>
      </c>
      <c r="J28" s="4">
        <f>LN(H28)</f>
        <v/>
      </c>
    </row>
    <row r="30" ht="32" customHeight="1">
      <c r="A30" s="6" t="inlineStr">
        <is>
          <t>SOURCES — fatality_rate: NHTSA FARS https://cdan.nhtsa.gov/query (⚠️ still needed, yellow cells)  |  unemployment: FRED MDUR (MD) and VAURN (VA) — ✅ annual averages pre-filled  |  income_pc: BEA Table SAINC1 — 🟠 pre-filled but VERIFY at https://apps.bea.gov  |  pop_density: 2010 Census — ✅ pre-filled</t>
        </is>
      </c>
    </row>
  </sheetData>
  <mergeCells count="1">
    <mergeCell ref="A30:J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ECO102 — OLS Cross-Section: All 50 States, Year = 2008</t>
        </is>
      </c>
    </row>
    <row r="2">
      <c r="A2" s="2" t="inlineStr">
        <is>
          <t>🔵 Blue = confirmed    🟢 Green = verified from primary source    🟠 Orange = estimate (verify at apps.bea.gov → iTable → SAINC1 → 2008)    fatality_rate: DOT HS 811 250 ✅    beer_tax: CSPI/FTA 2009 ✅    income_pc MD/VA: ✅ verified; other 48 states: verify at BEA</t>
        </is>
      </c>
    </row>
    <row r="4">
      <c r="A4" s="3" t="inlineStr">
        <is>
          <t>state</t>
        </is>
      </c>
      <c r="B4" s="3" t="inlineStr">
        <is>
          <t>fatality_rate
(per 100k)</t>
        </is>
      </c>
      <c r="C4" s="3" t="inlineStr">
        <is>
          <t>beer_tax
($/gallon)</t>
        </is>
      </c>
      <c r="D4" s="3" t="inlineStr">
        <is>
          <t>pct_religious
(Pew 2014, %)</t>
        </is>
      </c>
      <c r="E4" s="3" t="inlineStr">
        <is>
          <t>pop_density
(per sq mi)</t>
        </is>
      </c>
      <c r="F4" s="3" t="inlineStr">
        <is>
          <t>unemployment
(%)</t>
        </is>
      </c>
      <c r="G4" s="3" t="inlineStr">
        <is>
          <t>income_pc
($)</t>
        </is>
      </c>
      <c r="H4" s="3" t="inlineStr">
        <is>
          <t>log_income
[computed by R]</t>
        </is>
      </c>
    </row>
    <row r="5">
      <c r="A5" s="4" t="inlineStr">
        <is>
          <t>Alabama</t>
        </is>
      </c>
      <c r="B5" s="4" t="n">
        <v>6.757</v>
      </c>
      <c r="C5" s="4" t="n">
        <v>1.05</v>
      </c>
      <c r="D5" s="4" t="n">
        <v>77</v>
      </c>
      <c r="E5" s="4" t="n">
        <v>94.40000000000001</v>
      </c>
      <c r="F5" s="4" t="n">
        <v>5.7</v>
      </c>
      <c r="G5" s="13" t="n">
        <v>32220</v>
      </c>
      <c r="H5" s="4">
        <f>LN(G5)</f>
        <v/>
      </c>
    </row>
    <row r="6">
      <c r="A6" s="4" t="inlineStr">
        <is>
          <t>Alaska</t>
        </is>
      </c>
      <c r="B6" s="4" t="n">
        <v>3.06</v>
      </c>
      <c r="C6" s="4" t="n">
        <v>1.07</v>
      </c>
      <c r="D6" s="4" t="n">
        <v>45</v>
      </c>
      <c r="E6" s="4" t="n">
        <v>1.2</v>
      </c>
      <c r="F6" s="4" t="n">
        <v>6.6</v>
      </c>
      <c r="G6" s="13" t="n">
        <v>48069</v>
      </c>
      <c r="H6" s="4">
        <f>LN(G6)</f>
        <v/>
      </c>
    </row>
    <row r="7">
      <c r="A7" s="4" t="inlineStr">
        <is>
          <t>Arizona</t>
        </is>
      </c>
      <c r="B7" s="4" t="n">
        <v>4.092</v>
      </c>
      <c r="C7" s="4" t="n">
        <v>0.16</v>
      </c>
      <c r="D7" s="4" t="n">
        <v>53</v>
      </c>
      <c r="E7" s="4" t="n">
        <v>56.3</v>
      </c>
      <c r="F7" s="4" t="n">
        <v>5.1</v>
      </c>
      <c r="G7" s="13" t="n">
        <v>35682</v>
      </c>
      <c r="H7" s="4">
        <f>LN(G7)</f>
        <v/>
      </c>
    </row>
    <row r="8">
      <c r="A8" s="4" t="inlineStr">
        <is>
          <t>Arkansas</t>
        </is>
      </c>
      <c r="B8" s="4" t="n">
        <v>5.989</v>
      </c>
      <c r="C8" s="4" t="n">
        <v>0.23</v>
      </c>
      <c r="D8" s="4" t="n">
        <v>70</v>
      </c>
      <c r="E8" s="4" t="n">
        <v>56</v>
      </c>
      <c r="F8" s="4" t="n">
        <v>5.1</v>
      </c>
      <c r="G8" s="13" t="n">
        <v>31951</v>
      </c>
      <c r="H8" s="4">
        <f>LN(G8)</f>
        <v/>
      </c>
    </row>
    <row r="9">
      <c r="A9" s="4" t="inlineStr">
        <is>
          <t>California</t>
        </is>
      </c>
      <c r="B9" s="4" t="n">
        <v>2.799</v>
      </c>
      <c r="C9" s="4" t="n">
        <v>0.2</v>
      </c>
      <c r="D9" s="4" t="n">
        <v>49</v>
      </c>
      <c r="E9" s="4" t="n">
        <v>239.1</v>
      </c>
      <c r="F9" s="4" t="n">
        <v>7.2</v>
      </c>
      <c r="G9" s="13" t="n">
        <v>46164</v>
      </c>
      <c r="H9" s="4">
        <f>LN(G9)</f>
        <v/>
      </c>
    </row>
    <row r="10">
      <c r="A10" s="4" t="inlineStr">
        <is>
          <t>Colorado</t>
        </is>
      </c>
      <c r="B10" s="4" t="n">
        <v>3.502</v>
      </c>
      <c r="C10" s="4" t="n">
        <v>0.08</v>
      </c>
      <c r="D10" s="4" t="n">
        <v>47</v>
      </c>
      <c r="E10" s="4" t="n">
        <v>48.5</v>
      </c>
      <c r="F10" s="4" t="n">
        <v>4.9</v>
      </c>
      <c r="G10" s="13" t="n">
        <v>44387</v>
      </c>
      <c r="H10" s="4">
        <f>LN(G10)</f>
        <v/>
      </c>
    </row>
    <row r="11">
      <c r="A11" s="4" t="inlineStr">
        <is>
          <t>Connecticut</t>
        </is>
      </c>
      <c r="B11" s="4" t="n">
        <v>2.456</v>
      </c>
      <c r="C11" s="4" t="n">
        <v>0.2</v>
      </c>
      <c r="D11" s="4" t="n">
        <v>43</v>
      </c>
      <c r="E11" s="4" t="n">
        <v>738.1</v>
      </c>
      <c r="F11" s="4" t="n">
        <v>5.7</v>
      </c>
      <c r="G11" s="13" t="n">
        <v>57467</v>
      </c>
      <c r="H11" s="4">
        <f>LN(G11)</f>
        <v/>
      </c>
    </row>
    <row r="12">
      <c r="A12" s="4" t="inlineStr">
        <is>
          <t>Delaware</t>
        </is>
      </c>
      <c r="B12" s="4" t="n">
        <v>5.154</v>
      </c>
      <c r="C12" s="4" t="n">
        <v>0.16</v>
      </c>
      <c r="D12" s="4" t="n">
        <v>52</v>
      </c>
      <c r="E12" s="4" t="n">
        <v>460.8</v>
      </c>
      <c r="F12" s="4" t="n">
        <v>4.7</v>
      </c>
      <c r="G12" s="13" t="n">
        <v>42604</v>
      </c>
      <c r="H12" s="4">
        <f>LN(G12)</f>
        <v/>
      </c>
    </row>
    <row r="13">
      <c r="A13" s="4" t="inlineStr">
        <is>
          <t>Florida</t>
        </is>
      </c>
      <c r="B13" s="4" t="n">
        <v>4.774</v>
      </c>
      <c r="C13" s="4" t="n">
        <v>0.48</v>
      </c>
      <c r="D13" s="4" t="n">
        <v>54</v>
      </c>
      <c r="E13" s="4" t="n">
        <v>350.6</v>
      </c>
      <c r="F13" s="4" t="n">
        <v>6.4</v>
      </c>
      <c r="G13" s="13" t="n">
        <v>39753</v>
      </c>
      <c r="H13" s="4">
        <f>LN(G13)</f>
        <v/>
      </c>
    </row>
    <row r="14">
      <c r="A14" s="4" t="inlineStr">
        <is>
          <t>Georgia</t>
        </is>
      </c>
      <c r="B14" s="4" t="n">
        <v>4.295</v>
      </c>
      <c r="C14" s="4" t="n">
        <v>1.01</v>
      </c>
      <c r="D14" s="4" t="n">
        <v>66</v>
      </c>
      <c r="E14" s="4" t="n">
        <v>168.4</v>
      </c>
      <c r="F14" s="4" t="n">
        <v>6.2</v>
      </c>
      <c r="G14" s="13" t="n">
        <v>35497</v>
      </c>
      <c r="H14" s="4">
        <f>LN(G14)</f>
        <v/>
      </c>
    </row>
    <row r="15">
      <c r="A15" s="4" t="inlineStr">
        <is>
          <t>Hawaii</t>
        </is>
      </c>
      <c r="B15" s="4" t="n">
        <v>3.26</v>
      </c>
      <c r="C15" s="4" t="n">
        <v>0.93</v>
      </c>
      <c r="D15" s="4" t="n">
        <v>47</v>
      </c>
      <c r="E15" s="4" t="n">
        <v>211.8</v>
      </c>
      <c r="F15" s="4" t="n">
        <v>4.1</v>
      </c>
      <c r="G15" s="13" t="n">
        <v>42800</v>
      </c>
      <c r="H15" s="4">
        <f>LN(G15)</f>
        <v/>
      </c>
    </row>
    <row r="16">
      <c r="A16" s="4" t="inlineStr">
        <is>
          <t>Idaho</t>
        </is>
      </c>
      <c r="B16" s="4" t="n">
        <v>5.119</v>
      </c>
      <c r="C16" s="4" t="n">
        <v>0.15</v>
      </c>
      <c r="D16" s="4" t="n">
        <v>51</v>
      </c>
      <c r="E16" s="4" t="n">
        <v>19</v>
      </c>
      <c r="F16" s="4" t="n">
        <v>4.4</v>
      </c>
      <c r="G16" s="13" t="n">
        <v>32556</v>
      </c>
      <c r="H16" s="4">
        <f>LN(G16)</f>
        <v/>
      </c>
    </row>
    <row r="17">
      <c r="A17" s="4" t="inlineStr">
        <is>
          <t>Illinois</t>
        </is>
      </c>
      <c r="B17" s="4" t="n">
        <v>2.806</v>
      </c>
      <c r="C17" s="4" t="n">
        <v>0.185</v>
      </c>
      <c r="D17" s="4" t="n">
        <v>53</v>
      </c>
      <c r="E17" s="4" t="n">
        <v>231.1</v>
      </c>
      <c r="F17" s="4" t="n">
        <v>6.4</v>
      </c>
      <c r="G17" s="13" t="n">
        <v>43609</v>
      </c>
      <c r="H17" s="4">
        <f>LN(G17)</f>
        <v/>
      </c>
    </row>
    <row r="18">
      <c r="A18" s="4" t="inlineStr">
        <is>
          <t>Indiana</t>
        </is>
      </c>
      <c r="B18" s="4" t="n">
        <v>3.262</v>
      </c>
      <c r="C18" s="4" t="n">
        <v>0.115</v>
      </c>
      <c r="D18" s="4" t="n">
        <v>54</v>
      </c>
      <c r="E18" s="4" t="n">
        <v>181</v>
      </c>
      <c r="F18" s="4" t="n">
        <v>5.8</v>
      </c>
      <c r="G18" s="13" t="n">
        <v>34516</v>
      </c>
      <c r="H18" s="4">
        <f>LN(G18)</f>
        <v/>
      </c>
    </row>
    <row r="19">
      <c r="A19" s="4" t="inlineStr">
        <is>
          <t>Iowa</t>
        </is>
      </c>
      <c r="B19" s="4" t="n">
        <v>2.964</v>
      </c>
      <c r="C19" s="4" t="n">
        <v>0.19</v>
      </c>
      <c r="D19" s="4" t="n">
        <v>52</v>
      </c>
      <c r="E19" s="4" t="n">
        <v>54.5</v>
      </c>
      <c r="F19" s="4" t="n">
        <v>3.8</v>
      </c>
      <c r="G19" s="13" t="n">
        <v>37265</v>
      </c>
      <c r="H19" s="4">
        <f>LN(G19)</f>
        <v/>
      </c>
    </row>
    <row r="20">
      <c r="A20" s="4" t="inlineStr">
        <is>
          <t>Kansas</t>
        </is>
      </c>
      <c r="B20" s="4" t="n">
        <v>5.175</v>
      </c>
      <c r="C20" s="4" t="n">
        <v>0.18</v>
      </c>
      <c r="D20" s="4" t="n">
        <v>58</v>
      </c>
      <c r="E20" s="4" t="n">
        <v>35</v>
      </c>
      <c r="F20" s="4" t="n">
        <v>4.3</v>
      </c>
      <c r="G20" s="13" t="n">
        <v>38672</v>
      </c>
      <c r="H20" s="4">
        <f>LN(G20)</f>
        <v/>
      </c>
    </row>
    <row r="21">
      <c r="A21" s="4" t="inlineStr">
        <is>
          <t>Kentucky</t>
        </is>
      </c>
      <c r="B21" s="4" t="n">
        <v>4.685</v>
      </c>
      <c r="C21" s="4" t="n">
        <v>0.08</v>
      </c>
      <c r="D21" s="4" t="n">
        <v>63</v>
      </c>
      <c r="E21" s="4" t="n">
        <v>109.9</v>
      </c>
      <c r="F21" s="4" t="n">
        <v>6.4</v>
      </c>
      <c r="G21" s="13" t="n">
        <v>31998</v>
      </c>
      <c r="H21" s="4">
        <f>LN(G21)</f>
        <v/>
      </c>
    </row>
    <row r="22">
      <c r="A22" s="4" t="inlineStr">
        <is>
          <t>Louisiana</t>
        </is>
      </c>
      <c r="B22" s="4" t="n">
        <v>7.663</v>
      </c>
      <c r="C22" s="4" t="n">
        <v>0.32</v>
      </c>
      <c r="D22" s="4" t="n">
        <v>71</v>
      </c>
      <c r="E22" s="4" t="n">
        <v>104.9</v>
      </c>
      <c r="F22" s="4" t="n">
        <v>4.7</v>
      </c>
      <c r="G22" s="13" t="n">
        <v>35552</v>
      </c>
      <c r="H22" s="4">
        <f>LN(G22)</f>
        <v/>
      </c>
    </row>
    <row r="23">
      <c r="A23" s="4" t="inlineStr">
        <is>
          <t>Maine</t>
        </is>
      </c>
      <c r="B23" s="4" t="n">
        <v>3.266</v>
      </c>
      <c r="C23" s="4" t="n">
        <v>0.35</v>
      </c>
      <c r="D23" s="4" t="n">
        <v>34</v>
      </c>
      <c r="E23" s="4" t="n">
        <v>43.1</v>
      </c>
      <c r="F23" s="4" t="n">
        <v>5.4</v>
      </c>
      <c r="G23" s="13" t="n">
        <v>36696</v>
      </c>
      <c r="H23" s="4">
        <f>LN(G23)</f>
        <v/>
      </c>
    </row>
    <row r="24">
      <c r="A24" s="4" t="inlineStr">
        <is>
          <t>Maryland</t>
        </is>
      </c>
      <c r="B24" s="4" t="n">
        <v>2.687</v>
      </c>
      <c r="C24" s="4" t="n">
        <v>0.09</v>
      </c>
      <c r="D24" s="4" t="n">
        <v>54</v>
      </c>
      <c r="E24" s="4" t="n">
        <v>594.8</v>
      </c>
      <c r="F24" s="4" t="n">
        <v>4.3</v>
      </c>
      <c r="G24" s="14" t="n">
        <v>49186</v>
      </c>
      <c r="H24" s="4">
        <f>LN(G24)</f>
        <v/>
      </c>
    </row>
    <row r="25">
      <c r="A25" s="4" t="inlineStr">
        <is>
          <t>Massachusetts</t>
        </is>
      </c>
      <c r="B25" s="4" t="n">
        <v>1.908</v>
      </c>
      <c r="C25" s="4" t="n">
        <v>0.11</v>
      </c>
      <c r="D25" s="4" t="n">
        <v>33</v>
      </c>
      <c r="E25" s="4" t="n">
        <v>839.4</v>
      </c>
      <c r="F25" s="4" t="n">
        <v>5.3</v>
      </c>
      <c r="G25" s="13" t="n">
        <v>53163</v>
      </c>
      <c r="H25" s="4">
        <f>LN(G25)</f>
        <v/>
      </c>
    </row>
    <row r="26">
      <c r="A26" s="4" t="inlineStr">
        <is>
          <t>Michigan</t>
        </is>
      </c>
      <c r="B26" s="4" t="n">
        <v>2.836</v>
      </c>
      <c r="C26" s="4" t="n">
        <v>0.2</v>
      </c>
      <c r="D26" s="4" t="n">
        <v>53</v>
      </c>
      <c r="E26" s="4" t="n">
        <v>174.8</v>
      </c>
      <c r="F26" s="4" t="n">
        <v>8.300000000000001</v>
      </c>
      <c r="G26" s="13" t="n">
        <v>35200</v>
      </c>
      <c r="H26" s="4">
        <f>LN(G26)</f>
        <v/>
      </c>
    </row>
    <row r="27">
      <c r="A27" s="4" t="inlineStr">
        <is>
          <t>Minnesota</t>
        </is>
      </c>
      <c r="B27" s="4" t="n">
        <v>2.586</v>
      </c>
      <c r="C27" s="4" t="n">
        <v>0.15</v>
      </c>
      <c r="D27" s="4" t="n">
        <v>47</v>
      </c>
      <c r="E27" s="4" t="n">
        <v>66.59999999999999</v>
      </c>
      <c r="F27" s="4" t="n">
        <v>5.3</v>
      </c>
      <c r="G27" s="13" t="n">
        <v>43730</v>
      </c>
      <c r="H27" s="4">
        <f>LN(G27)</f>
        <v/>
      </c>
    </row>
    <row r="28">
      <c r="A28" s="4" t="inlineStr">
        <is>
          <t>Mississippi</t>
        </is>
      </c>
      <c r="B28" s="4" t="n">
        <v>9.052</v>
      </c>
      <c r="C28" s="4" t="n">
        <v>0.4268</v>
      </c>
      <c r="D28" s="4" t="n">
        <v>77</v>
      </c>
      <c r="E28" s="4" t="n">
        <v>63.2</v>
      </c>
      <c r="F28" s="4" t="n">
        <v>7</v>
      </c>
      <c r="G28" s="13" t="n">
        <v>28932</v>
      </c>
      <c r="H28" s="4">
        <f>LN(G28)</f>
        <v/>
      </c>
    </row>
    <row r="29">
      <c r="A29" s="4" t="inlineStr">
        <is>
          <t>Missouri</t>
        </is>
      </c>
      <c r="B29" s="4" t="n">
        <v>5.244</v>
      </c>
      <c r="C29" s="4" t="n">
        <v>0.06</v>
      </c>
      <c r="D29" s="4" t="n">
        <v>63</v>
      </c>
      <c r="E29" s="4" t="n">
        <v>87.09999999999999</v>
      </c>
      <c r="F29" s="4" t="n">
        <v>5.9</v>
      </c>
      <c r="G29" s="13" t="n">
        <v>36384</v>
      </c>
      <c r="H29" s="4">
        <f>LN(G29)</f>
        <v/>
      </c>
    </row>
    <row r="30">
      <c r="A30" s="4" t="inlineStr">
        <is>
          <t>Montana</t>
        </is>
      </c>
      <c r="B30" s="4" t="n">
        <v>9.406000000000001</v>
      </c>
      <c r="C30" s="4" t="n">
        <v>0.14</v>
      </c>
      <c r="D30" s="4" t="n">
        <v>49</v>
      </c>
      <c r="E30" s="4" t="n">
        <v>6.8</v>
      </c>
      <c r="F30" s="4" t="n">
        <v>4.6</v>
      </c>
      <c r="G30" s="13" t="n">
        <v>34123</v>
      </c>
      <c r="H30" s="4">
        <f>LN(G30)</f>
        <v/>
      </c>
    </row>
    <row r="31">
      <c r="A31" s="4" t="inlineStr">
        <is>
          <t>Nebraska</t>
        </is>
      </c>
      <c r="B31" s="4" t="n">
        <v>3.061</v>
      </c>
      <c r="C31" s="4" t="n">
        <v>0.31</v>
      </c>
      <c r="D31" s="4" t="n">
        <v>54</v>
      </c>
      <c r="E31" s="4" t="n">
        <v>23.8</v>
      </c>
      <c r="F31" s="4" t="n">
        <v>3.3</v>
      </c>
      <c r="G31" s="13" t="n">
        <v>39568</v>
      </c>
      <c r="H31" s="4">
        <f>LN(G31)</f>
        <v/>
      </c>
    </row>
    <row r="32">
      <c r="A32" s="4" t="inlineStr">
        <is>
          <t>Nevada</t>
        </is>
      </c>
      <c r="B32" s="4" t="n">
        <v>4.115</v>
      </c>
      <c r="C32" s="4" t="n">
        <v>0.16</v>
      </c>
      <c r="D32" s="4" t="n">
        <v>47</v>
      </c>
      <c r="E32" s="4" t="n">
        <v>24.6</v>
      </c>
      <c r="F32" s="4" t="n">
        <v>7.2</v>
      </c>
      <c r="G32" s="13" t="n">
        <v>42313</v>
      </c>
      <c r="H32" s="4">
        <f>LN(G32)</f>
        <v/>
      </c>
    </row>
    <row r="33">
      <c r="A33" s="4" t="inlineStr">
        <is>
          <t>New Hampshire</t>
        </is>
      </c>
      <c r="B33" s="4" t="n">
        <v>3.42</v>
      </c>
      <c r="C33" s="4" t="n">
        <v>0.3</v>
      </c>
      <c r="D33" s="4" t="n">
        <v>33</v>
      </c>
      <c r="E33" s="4" t="n">
        <v>147</v>
      </c>
      <c r="F33" s="4" t="n">
        <v>4.3</v>
      </c>
      <c r="G33" s="13" t="n">
        <v>46494</v>
      </c>
      <c r="H33" s="4">
        <f>LN(G33)</f>
        <v/>
      </c>
    </row>
    <row r="34">
      <c r="A34" s="4" t="inlineStr">
        <is>
          <t>New Jersey</t>
        </is>
      </c>
      <c r="B34" s="4" t="n">
        <v>1.774</v>
      </c>
      <c r="C34" s="4" t="n">
        <v>0.12</v>
      </c>
      <c r="D34" s="4" t="n">
        <v>52</v>
      </c>
      <c r="E34" s="4" t="n">
        <v>1195.5</v>
      </c>
      <c r="F34" s="4" t="n">
        <v>5.6</v>
      </c>
      <c r="G34" s="13" t="n">
        <v>54699</v>
      </c>
      <c r="H34" s="4">
        <f>LN(G34)</f>
        <v/>
      </c>
    </row>
    <row r="35">
      <c r="A35" s="4" t="inlineStr">
        <is>
          <t>New Mexico</t>
        </is>
      </c>
      <c r="B35" s="4" t="n">
        <v>5.291</v>
      </c>
      <c r="C35" s="4" t="n">
        <v>0.41</v>
      </c>
      <c r="D35" s="4" t="n">
        <v>57</v>
      </c>
      <c r="E35" s="4" t="n">
        <v>17</v>
      </c>
      <c r="F35" s="4" t="n">
        <v>4.7</v>
      </c>
      <c r="G35" s="13" t="n">
        <v>33054</v>
      </c>
      <c r="H35" s="4">
        <f>LN(G35)</f>
        <v/>
      </c>
    </row>
    <row r="36">
      <c r="A36" s="4" t="inlineStr">
        <is>
          <t>New York</t>
        </is>
      </c>
      <c r="B36" s="4" t="n">
        <v>1.75</v>
      </c>
      <c r="C36" s="4" t="n">
        <v>0.11</v>
      </c>
      <c r="D36" s="4" t="n">
        <v>46</v>
      </c>
      <c r="E36" s="4" t="n">
        <v>411.2</v>
      </c>
      <c r="F36" s="4" t="n">
        <v>5.4</v>
      </c>
      <c r="G36" s="13" t="n">
        <v>52084</v>
      </c>
      <c r="H36" s="4">
        <f>LN(G36)</f>
        <v/>
      </c>
    </row>
    <row r="37">
      <c r="A37" s="4" t="inlineStr">
        <is>
          <t>North Carolina</t>
        </is>
      </c>
      <c r="B37" s="4" t="n">
        <v>4.587</v>
      </c>
      <c r="C37" s="4" t="n">
        <v>0.5318000000000001</v>
      </c>
      <c r="D37" s="4" t="n">
        <v>65</v>
      </c>
      <c r="E37" s="4" t="n">
        <v>196.1</v>
      </c>
      <c r="F37" s="4" t="n">
        <v>6.3</v>
      </c>
      <c r="G37" s="13" t="n">
        <v>33937</v>
      </c>
      <c r="H37" s="4">
        <f>LN(G37)</f>
        <v/>
      </c>
    </row>
    <row r="38">
      <c r="A38" s="4" t="inlineStr">
        <is>
          <t>North Dakota</t>
        </is>
      </c>
      <c r="B38" s="4" t="n">
        <v>7.327</v>
      </c>
      <c r="C38" s="4" t="n">
        <v>0.16</v>
      </c>
      <c r="D38" s="4" t="n">
        <v>59</v>
      </c>
      <c r="E38" s="4" t="n">
        <v>9.699999999999999</v>
      </c>
      <c r="F38" s="4" t="n">
        <v>3.1</v>
      </c>
      <c r="G38" s="13" t="n">
        <v>40528</v>
      </c>
      <c r="H38" s="4">
        <f>LN(G38)</f>
        <v/>
      </c>
    </row>
    <row r="39">
      <c r="A39" s="4" t="inlineStr">
        <is>
          <t>Ohio</t>
        </is>
      </c>
      <c r="B39" s="4" t="n">
        <v>3.099</v>
      </c>
      <c r="C39" s="4" t="n">
        <v>0.18</v>
      </c>
      <c r="D39" s="4" t="n">
        <v>58</v>
      </c>
      <c r="E39" s="4" t="n">
        <v>282.3</v>
      </c>
      <c r="F39" s="4" t="n">
        <v>6.5</v>
      </c>
      <c r="G39" s="13" t="n">
        <v>37061</v>
      </c>
      <c r="H39" s="4">
        <f>LN(G39)</f>
        <v/>
      </c>
    </row>
    <row r="40">
      <c r="A40" s="4" t="inlineStr">
        <is>
          <t>Oklahoma</t>
        </is>
      </c>
      <c r="B40" s="4" t="n">
        <v>6.699</v>
      </c>
      <c r="C40" s="4" t="n">
        <v>0.4</v>
      </c>
      <c r="D40" s="4" t="n">
        <v>66</v>
      </c>
      <c r="E40" s="4" t="n">
        <v>54.7</v>
      </c>
      <c r="F40" s="4" t="n">
        <v>3.8</v>
      </c>
      <c r="G40" s="13" t="n">
        <v>36754</v>
      </c>
      <c r="H40" s="4">
        <f>LN(G40)</f>
        <v/>
      </c>
    </row>
    <row r="41">
      <c r="A41" s="4" t="inlineStr">
        <is>
          <t>Oregon</t>
        </is>
      </c>
      <c r="B41" s="4" t="n">
        <v>3.588</v>
      </c>
      <c r="C41" s="4" t="n">
        <v>0.08</v>
      </c>
      <c r="D41" s="4" t="n">
        <v>40</v>
      </c>
      <c r="E41" s="4" t="n">
        <v>39.9</v>
      </c>
      <c r="F41" s="4" t="n">
        <v>6.5</v>
      </c>
      <c r="G41" s="13" t="n">
        <v>37032</v>
      </c>
      <c r="H41" s="4">
        <f>LN(G41)</f>
        <v/>
      </c>
    </row>
    <row r="42">
      <c r="A42" s="4" t="inlineStr">
        <is>
          <t>Pennsylvania</t>
        </is>
      </c>
      <c r="B42" s="4" t="n">
        <v>3.984</v>
      </c>
      <c r="C42" s="4" t="n">
        <v>0.08</v>
      </c>
      <c r="D42" s="4" t="n">
        <v>53</v>
      </c>
      <c r="E42" s="4" t="n">
        <v>283.9</v>
      </c>
      <c r="F42" s="4" t="n">
        <v>5.4</v>
      </c>
      <c r="G42" s="13" t="n">
        <v>41499</v>
      </c>
      <c r="H42" s="4">
        <f>LN(G42)</f>
        <v/>
      </c>
    </row>
    <row r="43">
      <c r="A43" s="4" t="inlineStr">
        <is>
          <t>Rhode Island</t>
        </is>
      </c>
      <c r="B43" s="4" t="n">
        <v>2.379</v>
      </c>
      <c r="C43" s="4" t="n">
        <v>0.11</v>
      </c>
      <c r="D43" s="4" t="n">
        <v>42</v>
      </c>
      <c r="E43" s="4" t="n">
        <v>1018.1</v>
      </c>
      <c r="F43" s="4" t="n">
        <v>7.7</v>
      </c>
      <c r="G43" s="13" t="n">
        <v>44311</v>
      </c>
      <c r="H43" s="4">
        <f>LN(G43)</f>
        <v/>
      </c>
    </row>
    <row r="44">
      <c r="A44" s="4" t="inlineStr">
        <is>
          <t>South Carolina</t>
        </is>
      </c>
      <c r="B44" s="4" t="n">
        <v>8.996</v>
      </c>
      <c r="C44" s="4" t="n">
        <v>0.77</v>
      </c>
      <c r="D44" s="4" t="n">
        <v>70</v>
      </c>
      <c r="E44" s="4" t="n">
        <v>153.9</v>
      </c>
      <c r="F44" s="4" t="n">
        <v>7</v>
      </c>
      <c r="G44" s="13" t="n">
        <v>33027</v>
      </c>
      <c r="H44" s="4">
        <f>LN(G44)</f>
        <v/>
      </c>
    </row>
    <row r="45">
      <c r="A45" s="4" t="inlineStr">
        <is>
          <t>South Dakota</t>
        </is>
      </c>
      <c r="B45" s="4" t="n">
        <v>4.228</v>
      </c>
      <c r="C45" s="4" t="n">
        <v>0.27</v>
      </c>
      <c r="D45" s="4" t="n">
        <v>59</v>
      </c>
      <c r="E45" s="4" t="n">
        <v>10.7</v>
      </c>
      <c r="F45" s="4" t="n">
        <v>3.2</v>
      </c>
      <c r="G45" s="13" t="n">
        <v>39582</v>
      </c>
      <c r="H45" s="4">
        <f>LN(G45)</f>
        <v/>
      </c>
    </row>
    <row r="46">
      <c r="A46" s="4" t="inlineStr">
        <is>
          <t>Tennessee</t>
        </is>
      </c>
      <c r="B46" s="4" t="n">
        <v>5.262</v>
      </c>
      <c r="C46" s="4" t="n">
        <v>0.14</v>
      </c>
      <c r="D46" s="4" t="n">
        <v>73</v>
      </c>
      <c r="E46" s="4" t="n">
        <v>153.9</v>
      </c>
      <c r="F46" s="4" t="n">
        <v>6.4</v>
      </c>
      <c r="G46" s="13" t="n">
        <v>33752</v>
      </c>
      <c r="H46" s="4">
        <f>LN(G46)</f>
        <v/>
      </c>
    </row>
    <row r="47">
      <c r="A47" s="4" t="inlineStr">
        <is>
          <t>Texas</t>
        </is>
      </c>
      <c r="B47" s="4" t="n">
        <v>5.216</v>
      </c>
      <c r="C47" s="4" t="n">
        <v>0.2</v>
      </c>
      <c r="D47" s="4" t="n">
        <v>64</v>
      </c>
      <c r="E47" s="4" t="n">
        <v>96.3</v>
      </c>
      <c r="F47" s="4" t="n">
        <v>4.4</v>
      </c>
      <c r="G47" s="13" t="n">
        <v>38609</v>
      </c>
      <c r="H47" s="4">
        <f>LN(G47)</f>
        <v/>
      </c>
    </row>
    <row r="48">
      <c r="A48" s="4" t="inlineStr">
        <is>
          <t>Utah</t>
        </is>
      </c>
      <c r="B48" s="4" t="n">
        <v>1.681</v>
      </c>
      <c r="C48" s="4" t="n">
        <v>0.41</v>
      </c>
      <c r="D48" s="4" t="n">
        <v>69</v>
      </c>
      <c r="E48" s="4" t="n">
        <v>33.6</v>
      </c>
      <c r="F48" s="4" t="n">
        <v>3.2</v>
      </c>
      <c r="G48" s="13" t="n">
        <v>32702</v>
      </c>
      <c r="H48" s="4">
        <f>LN(G48)</f>
        <v/>
      </c>
    </row>
    <row r="49">
      <c r="A49" s="4" t="inlineStr">
        <is>
          <t>Vermont</t>
        </is>
      </c>
      <c r="B49" s="4" t="n">
        <v>1.932</v>
      </c>
      <c r="C49" s="4" t="n">
        <v>0.265</v>
      </c>
      <c r="D49" s="4" t="n">
        <v>34</v>
      </c>
      <c r="E49" s="4" t="n">
        <v>67.90000000000001</v>
      </c>
      <c r="F49" s="4" t="n">
        <v>4.7</v>
      </c>
      <c r="G49" s="13" t="n">
        <v>40068</v>
      </c>
      <c r="H49" s="4">
        <f>LN(G49)</f>
        <v/>
      </c>
    </row>
    <row r="50">
      <c r="A50" s="4" t="inlineStr">
        <is>
          <t>Virginia</t>
        </is>
      </c>
      <c r="B50" s="4" t="n">
        <v>3.753</v>
      </c>
      <c r="C50" s="4" t="n">
        <v>0.2565</v>
      </c>
      <c r="D50" s="4" t="n">
        <v>56</v>
      </c>
      <c r="E50" s="4" t="n">
        <v>202.6</v>
      </c>
      <c r="F50" s="4" t="n">
        <v>4.1</v>
      </c>
      <c r="G50" s="14" t="n">
        <v>45383</v>
      </c>
      <c r="H50" s="4">
        <f>LN(G50)</f>
        <v/>
      </c>
    </row>
    <row r="51">
      <c r="A51" s="4" t="inlineStr">
        <is>
          <t>Washington</t>
        </is>
      </c>
      <c r="B51" s="4" t="n">
        <v>2.779</v>
      </c>
      <c r="C51" s="4" t="n">
        <v>0.26</v>
      </c>
      <c r="D51" s="4" t="n">
        <v>40</v>
      </c>
      <c r="E51" s="4" t="n">
        <v>101.2</v>
      </c>
      <c r="F51" s="4" t="n">
        <v>5.5</v>
      </c>
      <c r="G51" s="13" t="n">
        <v>43830</v>
      </c>
      <c r="H51" s="4">
        <f>LN(G51)</f>
        <v/>
      </c>
    </row>
    <row r="52">
      <c r="A52" s="4" t="inlineStr">
        <is>
          <t>West Virginia</t>
        </is>
      </c>
      <c r="B52" s="4" t="n">
        <v>7.054</v>
      </c>
      <c r="C52" s="4" t="n">
        <v>0.18</v>
      </c>
      <c r="D52" s="4" t="n">
        <v>66</v>
      </c>
      <c r="E52" s="4" t="n">
        <v>77.09999999999999</v>
      </c>
      <c r="F52" s="4" t="n">
        <v>4.3</v>
      </c>
      <c r="G52" s="13" t="n">
        <v>30490</v>
      </c>
      <c r="H52" s="4">
        <f>LN(G52)</f>
        <v/>
      </c>
    </row>
    <row r="53">
      <c r="A53" s="4" t="inlineStr">
        <is>
          <t>Wisconsin</t>
        </is>
      </c>
      <c r="B53" s="4" t="n">
        <v>3.696</v>
      </c>
      <c r="C53" s="4" t="n">
        <v>0.06</v>
      </c>
      <c r="D53" s="4" t="n">
        <v>51</v>
      </c>
      <c r="E53" s="4" t="n">
        <v>105</v>
      </c>
      <c r="F53" s="4" t="n">
        <v>4.8</v>
      </c>
      <c r="G53" s="13" t="n">
        <v>39227</v>
      </c>
      <c r="H53" s="4">
        <f>LN(G53)</f>
        <v/>
      </c>
    </row>
    <row r="54">
      <c r="A54" s="4" t="inlineStr">
        <is>
          <t>Wyoming</t>
        </is>
      </c>
      <c r="B54" s="4" t="n">
        <v>12.578</v>
      </c>
      <c r="C54" s="4" t="n">
        <v>0.02</v>
      </c>
      <c r="D54" s="4" t="n">
        <v>54</v>
      </c>
      <c r="E54" s="4" t="n">
        <v>5.8</v>
      </c>
      <c r="F54" s="4" t="n">
        <v>3.4</v>
      </c>
      <c r="G54" s="13" t="n">
        <v>46427</v>
      </c>
      <c r="H54" s="4">
        <f>LN(G54)</f>
        <v/>
      </c>
    </row>
    <row r="56" ht="32" customHeight="1">
      <c r="A56" s="6" t="inlineStr">
        <is>
          <t>SOURCES — fatality_rate: NHTSA DOT HS 811 250 (2008 state-level counts) ÷ Census 2008 pop  |  beer_tax: Tax Foundation (/data/all/state/state-alcohol-excise-taxes-2023/) — still needed (yellow)  |  pct_religious: Pew 2014 (pre-filled, verify)  |  pop_density: 2010 Census  |  unemployment: BLS 2008  |  income_pc: BEA SAINC1 (verify)</t>
        </is>
      </c>
    </row>
  </sheetData>
  <mergeCells count="1">
    <mergeCell ref="A56:H5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85" customWidth="1" min="2" max="2"/>
  </cols>
  <sheetData>
    <row r="1">
      <c r="A1" s="1" t="inlineStr">
        <is>
          <t>DATA COLLECTION GUIDE — ECO102 Spring 2026</t>
        </is>
      </c>
    </row>
    <row r="2" ht="15" customHeight="1">
      <c r="A2" s="7" t="inlineStr"/>
      <c r="B2" s="8" t="inlineStr"/>
    </row>
    <row r="3" ht="15" customHeight="1">
      <c r="A3" s="9" t="inlineStr">
        <is>
          <t>VARIABLE</t>
        </is>
      </c>
      <c r="B3" s="10" t="inlineStr">
        <is>
          <t>HOW TO COLLECT IT</t>
        </is>
      </c>
    </row>
    <row r="4" ht="15" customHeight="1">
      <c r="A4" s="11" t="inlineStr">
        <is>
          <t>fatality_rate</t>
        </is>
      </c>
      <c r="B4" s="12" t="inlineStr"/>
    </row>
    <row r="5" ht="98" customHeight="1">
      <c r="A5" s="7" t="inlineStr">
        <is>
          <t xml:space="preserve">  Panel (MD+VA)</t>
        </is>
      </c>
      <c r="B5" s="8" t="inlineStr">
        <is>
          <t>1. Go to https://cdan.nhtsa.gov/query
2. Select: State → Maryland (repeat for Virginia)
3. Year → 2005 to 2016 (one query per state, or use multi-year)
4. Measure → 'Alcohol-Impaired Driving Fatalities' (not total fatalities)
5. Download the counts. Divide each by Census population for that state/year × 100,000
   Census pop: https://www.census.gov/data/tables/time-series/demo/popest/2010s-state-total.html
   Pre-2010 pop: use https://www.census.gov/data/tables/time-series/demo/popest/2000s-state-total.html</t>
        </is>
      </c>
    </row>
    <row r="6" ht="42" customHeight="1">
      <c r="A6" s="7" t="inlineStr">
        <is>
          <t xml:space="preserve">  OLS (50 states)</t>
        </is>
      </c>
      <c r="B6" s="8" t="inlineStr">
        <is>
          <t>Same FARS tool, but filter year=2008 and pull all 50 states.
Tip: run one query per state, or use the bulk download if available.
Pop denominator for 2008: use Census intercensal estimates (same links above).</t>
        </is>
      </c>
    </row>
    <row r="7" ht="15" customHeight="1">
      <c r="A7" s="7" t="inlineStr"/>
      <c r="B7" s="8" t="inlineStr"/>
    </row>
    <row r="8" ht="56" customHeight="1">
      <c r="A8" s="11" t="inlineStr">
        <is>
          <t>unemployment</t>
        </is>
      </c>
      <c r="B8" s="12" t="inlineStr">
        <is>
          <t>1. Go to https://fred.stlouisfed.org
2. Panel: search 'MDUR' (Maryland) and 'VAUR' (Virginia). Download → Annual Average.
3. OLS (all states, 2008): search '[State abbreviation]UR', e.g. CAUR for California.
   Tip: FRED has all 50 series. Collect the 2008 annual average for each.</t>
        </is>
      </c>
    </row>
    <row r="9" ht="15" customHeight="1">
      <c r="A9" s="7" t="inlineStr"/>
      <c r="B9" s="8" t="inlineStr"/>
    </row>
    <row r="10" ht="56" customHeight="1">
      <c r="A10" s="11" t="inlineStr">
        <is>
          <t>income_pc</t>
        </is>
      </c>
      <c r="B10" s="12" t="inlineStr">
        <is>
          <t>1. Go to https://www.bea.gov/data/income-saving/personal-income-by-state
2. Select Table SAINC1 — Per Capita Personal Income
3. Filter: All states, years 2005–2016 (panel) or 2008 only (OLS)
4. Download as Excel. Column = 'Per capita personal income (dollars)'</t>
        </is>
      </c>
    </row>
    <row r="11" ht="15" customHeight="1">
      <c r="A11" s="7" t="inlineStr"/>
      <c r="B11" s="8" t="inlineStr"/>
    </row>
    <row r="12" ht="70" customHeight="1">
      <c r="A12" s="11" t="inlineStr">
        <is>
          <t>beer_tax</t>
        </is>
      </c>
      <c r="B12" s="12" t="inlineStr">
        <is>
          <t>OLS ONLY (50 states, 2008 value)
1. Go to https://taxfoundation.org/data/all/state/state-alcohol-excise-taxes-2023/
2. Click the Excel download link on the page
3. Open the file — find the sheet with beer excise tax rates by state and year
4. Use the 2008 column ($/gallon). This is the EXCISE tax, not the sales tax.</t>
        </is>
      </c>
    </row>
    <row r="13" ht="15" customHeight="1">
      <c r="A13" s="7" t="inlineStr"/>
      <c r="B13" s="8" t="inlineStr"/>
    </row>
    <row r="14" ht="84" customHeight="1">
      <c r="A14" s="11" t="inlineStr">
        <is>
          <t>pct_religious</t>
        </is>
      </c>
      <c r="B14" s="12" t="inlineStr">
        <is>
          <t>OLS ONLY — Pew Research 2014, treated as constant across years
1. Go to https://www.pewresearch.org/short-reads/2016/02/29/how-religious-is-your-state/
2. Find the table or chart showing '% highly religious' by state
3. The 'ols' sheet has values pre-filled — VERIFY them against the Pew source
   before submitting. Pew defines 'highly religious' as: attends services weekly,
   prays daily, religion very important, and believes in God with certainty.</t>
        </is>
      </c>
    </row>
    <row r="15" ht="15" customHeight="1">
      <c r="A15" s="7" t="inlineStr"/>
      <c r="B15" s="8" t="inlineStr"/>
    </row>
    <row r="16" ht="42" customHeight="1">
      <c r="A16" s="11" t="inlineStr">
        <is>
          <t>pop_density</t>
        </is>
      </c>
      <c r="B16" s="12" t="inlineStr">
        <is>
          <t>BOTH sheets — already pre-filled from 2010 US Census.
Source: US Census Bureau, 2010 Decennial Census, state population density.
Treated as constant across all years (acceptable for class project).</t>
        </is>
      </c>
    </row>
    <row r="17" ht="15" customHeight="1">
      <c r="A17" s="7" t="inlineStr"/>
      <c r="B17" s="8" t="inlineStr"/>
    </row>
    <row r="18" ht="15" customHeight="1">
      <c r="A18" s="11" t="inlineStr">
        <is>
          <t>TIPS</t>
        </is>
      </c>
      <c r="B18" s="12" t="inlineStr"/>
    </row>
    <row r="19" ht="42" customHeight="1">
      <c r="A19" s="7" t="inlineStr">
        <is>
          <t>Working directory</t>
        </is>
      </c>
      <c r="B19" s="8" t="inlineStr">
        <is>
          <t>In RStudio: Session → Set Working Directory → To Source File Location
Or run: setwd('path/to/your/folder')
Then put state_panel_alcohol.xlsx in that same folder.</t>
        </is>
      </c>
    </row>
    <row r="20" ht="42" customHeight="1">
      <c r="A20" s="7" t="inlineStr">
        <is>
          <t>FARS tip</t>
        </is>
      </c>
      <c r="B20" s="8" t="inlineStr">
        <is>
          <t>If the CDAN tool is slow, try the NHTSA 'Traffic Safety Facts' state data sheets:
https://www.nhtsa.gov/research-data/traffic-safety-facts — each state has a PDF
with impaired driving fatality counts by year. Still need to divide by population.</t>
        </is>
      </c>
    </row>
    <row r="21" ht="42" customHeight="1">
      <c r="A21" s="7" t="inlineStr">
        <is>
          <t>FRED tip</t>
        </is>
      </c>
      <c r="B21" s="8" t="inlineStr">
        <is>
          <t>For all 50 state unemployment series at once, use FRED's bulk download:
https://fred.stlouisfed.org/release/tables?rid=112&amp;eid=257197
This gives BLS state unemployment rate tables you can filter to 2008.</t>
        </is>
      </c>
    </row>
    <row r="22" ht="42" customHeight="1">
      <c r="A22" s="7" t="inlineStr">
        <is>
          <t>Religiosity note</t>
        </is>
      </c>
      <c r="B22" s="8" t="inlineStr">
        <is>
          <t>The Pew 2014 figure is technically from a 2014 survey, not 2008.
For a class project this is standard practice — just note in the paper that
'religiosity is treated as time-invariant, using Pew 2014 data.'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2026-04-11T14:33:32Z</dcterms:created>
  <dcterms:modified xmlns:dcterms="http://purl.org/dc/terms/" xmlns:xsi="http://www.w3.org/2001/XMLSchema-instance" xsi:type="dcterms:W3CDTF">2026-04-11T15:18:15Z</dcterms:modified>
</cp:coreProperties>
</file>