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panel" sheetId="2" r:id="rId6"/>
    <sheet name="ols"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<sst xmlns="http://schemas.openxmlformats.org/spreadsheetml/2006/main" uniqueCount="71">
  <si>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</si>
  <si>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</si>
  <si>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</si>
  <si>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</si>
  <si>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panel</t>
  </si>
  <si>
    <t>Table 1</t>
  </si>
  <si>
    <t>ECO102 — Panel Data: Maryland &amp; Virginia, 2005–2016</t>
  </si>
  <si>
    <t>state</t>
  </si>
  <si>
    <t>year</t>
  </si>
  <si>
    <t>fatality_rate
(per 100k)</t>
  </si>
  <si>
    <t>treated
(MD=1, VA=0)</t>
  </si>
  <si>
    <t>post
(≥2011=1)</t>
  </si>
  <si>
    <t>did
(treated×post)</t>
  </si>
  <si>
    <t>unemployment
(%)</t>
  </si>
  <si>
    <t>income_pc
($)</t>
  </si>
  <si>
    <t>pop_density
(per sq mi)</t>
  </si>
  <si>
    <t>log_income
[computed by R]</t>
  </si>
  <si>
    <t>Maryland</t>
  </si>
  <si>
    <t>Virginia</t>
  </si>
  <si>
    <t>ols</t>
  </si>
  <si>
    <t>ECO102 — OLS Cross-Section: All 50 States, Year = 2008</t>
  </si>
  <si>
    <t>beer_tax
($/gallon)</t>
  </si>
  <si>
    <t>pct_religious
(Pew 2014, %)</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</si>
  <si>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</si>
  <si>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</si>
  <si>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</si>
  <si>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</si>
  <si>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</si>
  <si>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</si>
  <si>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</si>
  <si>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</si>
  <si>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</si>
  <si>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</si>
  <si>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</si>
  <si>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</si>
  <si>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</si>
  <si>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</si>
  <si>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</si>
  <si>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</si>
  <si>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</si>
  <si>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</si>
  <si>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</si>
  <si>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</si>
  <si>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</si>
  <si>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</si>
  <si>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</si>
  <si>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</si>
  <si>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</si>
  <si>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</si>
  <si>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</si>
  <si>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</si>
  <si>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</si>
  <si>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</si>
  <si>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</si>
  <si>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</si>
  <si>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</si>
  <si>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</si>
  <si>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</si>
  <si>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</si>
  <si>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</si>
  <si>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</si>
  <si>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</si>
  <si>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</si>
  <si>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</si>
  <si>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</si>
  <si>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</si>
  <si>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</si>
  <si>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Washington</t>
  </si>
  <si>
    <t>West Virginia</t>
  </si>
  <si>
    <t>Wisconsin</t>
  </si>
  <si>
    <t>Wyoming</t>
  </si>
</sst>
</file>

<file path=xl/styles.xml><?xml version="1.0" encoding="utf-8"?>
<styleSheet xmlns="http://schemas.openxmlformats.org/spreadsheetml/2006/main">
  <numFmts count="1">
    <numFmt numFmtId="0" formatCode="General"/>
  </numFmts>
  <fonts count="13">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2"/>
      <color indexed="12"/>
      <name val="Arial"/>
    </font>
    <font>
      <i val="1"/>
      <sz val="9"/>
      <color indexed="14"/>
      <name val="Arial"/>
    </font>
    <font>
      <b val="1"/>
      <sz val="10"/>
      <color indexed="16"/>
      <name val="Arial"/>
    </font>
    <font>
      <sz val="10"/>
      <color indexed="17"/>
      <name val="Arial"/>
    </font>
    <font>
      <sz val="10"/>
      <color indexed="19"/>
      <name val="Arial"/>
    </font>
    <font>
      <sz val="10"/>
      <color indexed="21"/>
      <name val="Arial"/>
    </font>
    <font>
      <i val="1"/>
      <sz val="9"/>
      <color indexed="23"/>
      <name val="Arial"/>
    </font>
  </fonts>
  <fills count="9">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8"/>
        <bgColor auto="1"/>
      </patternFill>
    </fill>
    <fill>
      <patternFill patternType="solid">
        <fgColor indexed="20"/>
        <bgColor auto="1"/>
      </patternFill>
    </fill>
    <fill>
      <patternFill patternType="solid">
        <fgColor indexed="22"/>
        <bgColor auto="1"/>
      </patternFill>
    </fill>
    <fill>
      <patternFill patternType="solid">
        <fgColor indexed="24"/>
        <bgColor auto="1"/>
      </patternFill>
    </fill>
  </fills>
  <borders count="8">
    <border>
      <left/>
      <right/>
      <top/>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5"/>
      </bottom>
      <diagonal/>
    </border>
    <border>
      <left style="thin">
        <color indexed="15"/>
      </left>
      <right style="thin">
        <color indexed="15"/>
      </right>
      <top style="thin">
        <color indexed="15"/>
      </top>
      <bottom style="thin">
        <color indexed="15"/>
      </bottom>
      <diagonal/>
    </border>
    <border>
      <left style="thin">
        <color indexed="13"/>
      </left>
      <right style="thin">
        <color indexed="13"/>
      </right>
      <top style="thin">
        <color indexed="15"/>
      </top>
      <bottom/>
      <diagonal/>
    </border>
    <border>
      <left style="thin">
        <color indexed="13"/>
      </left>
      <right style="thin">
        <color indexed="13"/>
      </right>
      <top style="thin">
        <color indexed="15"/>
      </top>
      <bottom style="thin">
        <color indexed="13"/>
      </bottom>
      <diagonal/>
    </border>
    <border>
      <left style="thin">
        <color indexed="13"/>
      </left>
      <right/>
      <top/>
      <bottom style="thin">
        <color indexed="13"/>
      </bottom>
      <diagonal/>
    </border>
    <border>
      <left/>
      <right style="thin">
        <color indexed="13"/>
      </right>
      <top style="thin">
        <color indexed="13"/>
      </top>
      <bottom style="thin">
        <color indexed="13"/>
      </bottom>
      <diagonal/>
    </border>
  </borders>
  <cellStyleXfs count="1">
    <xf numFmtId="0" fontId="0" applyNumberFormat="0" applyFont="1" applyFill="0" applyBorder="0" applyAlignment="1" applyProtection="0">
      <alignment vertical="bottom"/>
    </xf>
  </cellStyleXfs>
  <cellXfs count="2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1" applyNumberFormat="0" applyFont="1" applyFill="0" applyBorder="1" applyAlignment="1" applyProtection="0">
      <alignment vertical="bottom"/>
    </xf>
    <xf numFmtId="0" fontId="7" borderId="1" applyNumberFormat="0" applyFont="1" applyFill="0" applyBorder="1" applyAlignment="1" applyProtection="0">
      <alignment vertical="bottom"/>
    </xf>
    <xf numFmtId="0" fontId="0" borderId="2" applyNumberFormat="0" applyFont="1" applyFill="0" applyBorder="1" applyAlignment="1" applyProtection="0">
      <alignment vertical="bottom"/>
    </xf>
    <xf numFmtId="49" fontId="8" fillId="4" borderId="3" applyNumberFormat="1" applyFont="1" applyFill="1" applyBorder="1" applyAlignment="1" applyProtection="0">
      <alignment horizontal="center" vertical="center" wrapText="1"/>
    </xf>
    <xf numFmtId="49" fontId="9" fillId="5" borderId="3" applyNumberFormat="1" applyFont="1" applyFill="1" applyBorder="1" applyAlignment="1" applyProtection="0">
      <alignment horizontal="center" vertical="bottom"/>
    </xf>
    <xf numFmtId="0" fontId="9" fillId="5" borderId="3" applyNumberFormat="1" applyFont="1" applyFill="1" applyBorder="1" applyAlignment="1" applyProtection="0">
      <alignment horizontal="center" vertical="bottom"/>
    </xf>
    <xf numFmtId="0" fontId="10" fillId="6" borderId="3" applyNumberFormat="1" applyFont="1" applyFill="1" applyBorder="1" applyAlignment="1" applyProtection="0">
      <alignment horizontal="center" vertical="bottom"/>
    </xf>
    <xf numFmtId="0" fontId="11" fillId="7" borderId="3" applyNumberFormat="1" applyFont="1" applyFill="1" applyBorder="1" applyAlignment="1" applyProtection="0">
      <alignment horizontal="center" vertical="bottom"/>
    </xf>
    <xf numFmtId="0" fontId="0" borderId="4" applyNumberFormat="0" applyFont="1" applyFill="0" applyBorder="1" applyAlignment="1" applyProtection="0">
      <alignment vertical="bottom"/>
    </xf>
    <xf numFmtId="0" fontId="0" borderId="5" applyNumberFormat="0" applyFont="1" applyFill="0" applyBorder="1" applyAlignment="1" applyProtection="0">
      <alignment vertical="bottom"/>
    </xf>
    <xf numFmtId="0" fontId="12" fillId="8" borderId="6" applyNumberFormat="0" applyFont="1" applyFill="1" applyBorder="1" applyAlignment="1" applyProtection="0">
      <alignment vertical="top" wrapText="1"/>
    </xf>
    <xf numFmtId="0" fontId="0" borderId="7" applyNumberFormat="0" applyFont="1" applyFill="0" applyBorder="1" applyAlignment="1" applyProtection="0">
      <alignment vertical="bottom"/>
    </xf>
    <xf numFmtId="0" fontId="0" applyNumberFormat="1" applyFont="1" applyFill="0" applyBorder="0"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2e4057"/>
      <rgbColor rgb="ffaaaaaa"/>
      <rgbColor rgb="ff555555"/>
      <rgbColor rgb="ffbbbbbb"/>
      <rgbColor rgb="ffffffff"/>
      <rgbColor rgb="ff1a3a5c"/>
      <rgbColor rgb="ffd9e8f5"/>
      <rgbColor rgb="ff1a4d1a"/>
      <rgbColor rgb="ffc8e6c9"/>
      <rgbColor rgb="ff7b3800"/>
      <rgbColor rgb="ffffe0b2"/>
      <rgbColor rgb="ff276221"/>
      <rgbColor rgb="ffe8f5e9"/>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19</v>
      </c>
      <c r="C11" s="3"/>
      <c r="D11" s="3"/>
    </row>
    <row r="12">
      <c r="B12" s="4"/>
      <c r="C12" t="s" s="4">
        <v>5</v>
      </c>
      <c r="D12" t="s" s="5">
        <v>19</v>
      </c>
    </row>
  </sheetData>
  <mergeCells count="1">
    <mergeCell ref="B3:D3"/>
  </mergeCells>
  <hyperlinks>
    <hyperlink ref="D10" location="'panel'!R1C1" tooltip="" display="panel"/>
    <hyperlink ref="D12" location="'ols'!R1C1" tooltip="" display="ols"/>
  </hyperlinks>
</worksheet>
</file>

<file path=xl/worksheets/sheet2.xml><?xml version="1.0" encoding="utf-8"?>
<worksheet xmlns:r="http://schemas.openxmlformats.org/officeDocument/2006/relationships" xmlns="http://schemas.openxmlformats.org/spreadsheetml/2006/main">
  <dimension ref="A1:J30"/>
  <sheetViews>
    <sheetView workbookViewId="0" showGridLines="0" defaultGridColor="1"/>
  </sheetViews>
  <sheetFormatPr defaultColWidth="8.83333" defaultRowHeight="15" customHeight="1" outlineLevelRow="0" outlineLevelCol="0"/>
  <cols>
    <col min="1" max="10" width="14" style="6" customWidth="1"/>
    <col min="11" max="16384" width="8.85156" style="6" customWidth="1"/>
  </cols>
  <sheetData>
    <row r="1" ht="16.6" customHeight="1">
      <c r="A1" t="s" s="7">
        <v>6</v>
      </c>
      <c r="B1" s="8"/>
      <c r="C1" s="8"/>
      <c r="D1" s="8"/>
      <c r="E1" s="8"/>
      <c r="F1" s="8"/>
      <c r="G1" s="8"/>
      <c r="H1" s="8"/>
      <c r="I1" s="8"/>
      <c r="J1" s="8"/>
    </row>
    <row r="2" ht="13.55" customHeight="1">
      <c r="A2" s="9"/>
      <c r="B2" s="8"/>
      <c r="C2" s="8"/>
      <c r="D2" s="8"/>
      <c r="E2" s="8"/>
      <c r="F2" s="8"/>
      <c r="G2" s="8"/>
      <c r="H2" s="8"/>
      <c r="I2" s="8"/>
      <c r="J2" s="8"/>
    </row>
    <row r="3" ht="13.55" customHeight="1">
      <c r="A3" s="10"/>
      <c r="B3" s="10"/>
      <c r="C3" s="10"/>
      <c r="D3" s="10"/>
      <c r="E3" s="10"/>
      <c r="F3" s="10"/>
      <c r="G3" s="10"/>
      <c r="H3" s="10"/>
      <c r="I3" s="10"/>
      <c r="J3" s="10"/>
    </row>
    <row r="4" ht="24.65" customHeight="1">
      <c r="A4" t="s" s="11">
        <v>7</v>
      </c>
      <c r="B4" t="s" s="11">
        <v>8</v>
      </c>
      <c r="C4" t="s" s="11">
        <v>9</v>
      </c>
      <c r="D4" t="s" s="11">
        <v>10</v>
      </c>
      <c r="E4" t="s" s="11">
        <v>11</v>
      </c>
      <c r="F4" t="s" s="11">
        <v>12</v>
      </c>
      <c r="G4" t="s" s="11">
        <v>13</v>
      </c>
      <c r="H4" t="s" s="11">
        <v>14</v>
      </c>
      <c r="I4" t="s" s="11">
        <v>15</v>
      </c>
      <c r="J4" t="s" s="11">
        <v>16</v>
      </c>
    </row>
    <row r="5" ht="13.65" customHeight="1">
      <c r="A5" t="s" s="12">
        <v>17</v>
      </c>
      <c r="B5" s="13">
        <v>2005</v>
      </c>
      <c r="C5" s="13">
        <v>2.946</v>
      </c>
      <c r="D5" s="13">
        <v>1</v>
      </c>
      <c r="E5" s="13">
        <v>0</v>
      </c>
      <c r="F5" s="13">
        <v>0</v>
      </c>
      <c r="G5" s="13">
        <v>4.2</v>
      </c>
      <c r="H5" s="14">
        <v>43515</v>
      </c>
      <c r="I5" s="13">
        <v>594.8</v>
      </c>
      <c r="J5" s="13" cm="1">
        <f t="array" ref="J5">LN(H5)</f>
        <v>10.6808609852236</v>
      </c>
    </row>
    <row r="6" ht="13.65" customHeight="1">
      <c r="A6" t="s" s="12">
        <v>17</v>
      </c>
      <c r="B6" s="13">
        <v>2006</v>
      </c>
      <c r="C6" s="13">
        <v>3.437</v>
      </c>
      <c r="D6" s="13">
        <v>1</v>
      </c>
      <c r="E6" s="13">
        <v>0</v>
      </c>
      <c r="F6" s="13">
        <v>0</v>
      </c>
      <c r="G6" s="13">
        <v>3.9</v>
      </c>
      <c r="H6" s="14">
        <v>45576</v>
      </c>
      <c r="I6" s="13">
        <v>594.8</v>
      </c>
      <c r="J6" s="13" cm="1">
        <f t="array" ref="J6">LN(H6)</f>
        <v>10.7271365411602</v>
      </c>
    </row>
    <row r="7" ht="13.65" customHeight="1">
      <c r="A7" t="s" s="12">
        <v>17</v>
      </c>
      <c r="B7" s="13">
        <v>2007</v>
      </c>
      <c r="C7" s="13">
        <v>3.159</v>
      </c>
      <c r="D7" s="13">
        <v>1</v>
      </c>
      <c r="E7" s="13">
        <v>0</v>
      </c>
      <c r="F7" s="13">
        <v>0</v>
      </c>
      <c r="G7" s="13">
        <v>3.4</v>
      </c>
      <c r="H7" s="14">
        <v>47327</v>
      </c>
      <c r="I7" s="13">
        <v>594.8</v>
      </c>
      <c r="J7" s="13" cm="1">
        <f t="array" ref="J7">LN(H7)</f>
        <v>10.764836236146</v>
      </c>
    </row>
    <row r="8" ht="13.65" customHeight="1">
      <c r="A8" t="s" s="12">
        <v>17</v>
      </c>
      <c r="B8" s="13">
        <v>2008</v>
      </c>
      <c r="C8" s="13">
        <v>2.687</v>
      </c>
      <c r="D8" s="13">
        <v>1</v>
      </c>
      <c r="E8" s="13">
        <v>0</v>
      </c>
      <c r="F8" s="13">
        <v>0</v>
      </c>
      <c r="G8" s="13">
        <v>4.3</v>
      </c>
      <c r="H8" s="14">
        <v>49186</v>
      </c>
      <c r="I8" s="13">
        <v>594.8</v>
      </c>
      <c r="J8" s="13" cm="1">
        <f t="array" ref="J8">LN(H8)</f>
        <v>10.803364309142</v>
      </c>
    </row>
    <row r="9" ht="13.65" customHeight="1">
      <c r="A9" t="s" s="12">
        <v>17</v>
      </c>
      <c r="B9" s="13">
        <v>2009</v>
      </c>
      <c r="C9" s="13">
        <v>2.842</v>
      </c>
      <c r="D9" s="13">
        <v>1</v>
      </c>
      <c r="E9" s="13">
        <v>0</v>
      </c>
      <c r="F9" s="13">
        <v>0</v>
      </c>
      <c r="G9" s="13">
        <v>7.1</v>
      </c>
      <c r="H9" s="14">
        <v>48448</v>
      </c>
      <c r="I9" s="13">
        <v>594.8</v>
      </c>
      <c r="J9" s="13" cm="1">
        <f t="array" ref="J9">LN(H9)</f>
        <v>10.7882463367971</v>
      </c>
    </row>
    <row r="10" ht="13.65" customHeight="1">
      <c r="A10" t="s" s="12">
        <v>17</v>
      </c>
      <c r="B10" s="13">
        <v>2010</v>
      </c>
      <c r="C10" s="15">
        <v>2.702</v>
      </c>
      <c r="D10" s="13">
        <v>1</v>
      </c>
      <c r="E10" s="13">
        <v>0</v>
      </c>
      <c r="F10" s="13">
        <v>0</v>
      </c>
      <c r="G10" s="13">
        <v>7.8</v>
      </c>
      <c r="H10" s="14">
        <v>49668</v>
      </c>
      <c r="I10" s="13">
        <v>594.8</v>
      </c>
      <c r="J10" s="13" cm="1">
        <f t="array" ref="J10">LN(H10)</f>
        <v>10.8131161415367</v>
      </c>
    </row>
    <row r="11" ht="13.65" customHeight="1">
      <c r="A11" t="s" s="12">
        <v>17</v>
      </c>
      <c r="B11" s="13">
        <v>2011</v>
      </c>
      <c r="C11" s="15">
        <v>2.602</v>
      </c>
      <c r="D11" s="13">
        <v>1</v>
      </c>
      <c r="E11" s="13">
        <v>1</v>
      </c>
      <c r="F11" s="13">
        <v>1</v>
      </c>
      <c r="G11" s="13">
        <v>7.3</v>
      </c>
      <c r="H11" s="14">
        <v>51845</v>
      </c>
      <c r="I11" s="13">
        <v>594.8</v>
      </c>
      <c r="J11" s="13" cm="1">
        <f t="array" ref="J11">LN(H11)</f>
        <v>10.8560137769924</v>
      </c>
    </row>
    <row r="12" ht="13.65" customHeight="1">
      <c r="A12" t="s" s="12">
        <v>17</v>
      </c>
      <c r="B12" s="13">
        <v>2012</v>
      </c>
      <c r="C12" s="15">
        <v>2.378</v>
      </c>
      <c r="D12" s="13">
        <v>1</v>
      </c>
      <c r="E12" s="13">
        <v>1</v>
      </c>
      <c r="F12" s="13">
        <v>1</v>
      </c>
      <c r="G12" s="13">
        <v>6.9</v>
      </c>
      <c r="H12" s="14">
        <v>52787</v>
      </c>
      <c r="I12" s="13">
        <v>594.8</v>
      </c>
      <c r="J12" s="13" cm="1">
        <f t="array" ref="J12">LN(H12)</f>
        <v>10.874020227258</v>
      </c>
    </row>
    <row r="13" ht="13.65" customHeight="1">
      <c r="A13" t="s" s="12">
        <v>17</v>
      </c>
      <c r="B13" s="13">
        <v>2013</v>
      </c>
      <c r="C13" s="15">
        <v>2.408</v>
      </c>
      <c r="D13" s="13">
        <v>1</v>
      </c>
      <c r="E13" s="13">
        <v>1</v>
      </c>
      <c r="F13" s="13">
        <v>1</v>
      </c>
      <c r="G13" s="13">
        <v>6.6</v>
      </c>
      <c r="H13" s="14">
        <v>52249</v>
      </c>
      <c r="I13" s="13">
        <v>594.8</v>
      </c>
      <c r="J13" s="13" cm="1">
        <f t="array" ref="J13">LN(H13)</f>
        <v>10.8637760308879</v>
      </c>
    </row>
    <row r="14" ht="13.65" customHeight="1">
      <c r="A14" t="s" s="12">
        <v>17</v>
      </c>
      <c r="B14" s="13">
        <v>2014</v>
      </c>
      <c r="C14" s="15">
        <v>2.476</v>
      </c>
      <c r="D14" s="13">
        <v>1</v>
      </c>
      <c r="E14" s="13">
        <v>1</v>
      </c>
      <c r="F14" s="13">
        <v>1</v>
      </c>
      <c r="G14" s="13">
        <v>5.7</v>
      </c>
      <c r="H14" s="14">
        <v>53659</v>
      </c>
      <c r="I14" s="13">
        <v>594.8</v>
      </c>
      <c r="J14" s="13" cm="1">
        <f t="array" ref="J14">LN(H14)</f>
        <v>10.8904044879506</v>
      </c>
    </row>
    <row r="15" ht="13.65" customHeight="1">
      <c r="A15" t="s" s="12">
        <v>17</v>
      </c>
      <c r="B15" s="13">
        <v>2015</v>
      </c>
      <c r="C15" s="13">
        <v>2.647</v>
      </c>
      <c r="D15" s="13">
        <v>1</v>
      </c>
      <c r="E15" s="13">
        <v>1</v>
      </c>
      <c r="F15" s="13">
        <v>1</v>
      </c>
      <c r="G15" s="13">
        <v>5</v>
      </c>
      <c r="H15" s="14">
        <v>55825</v>
      </c>
      <c r="I15" s="13">
        <v>594.8</v>
      </c>
      <c r="J15" s="13" cm="1">
        <f t="array" ref="J15">LN(H15)</f>
        <v>10.9299770767084</v>
      </c>
    </row>
    <row r="16" ht="13.65" customHeight="1">
      <c r="A16" t="s" s="12">
        <v>17</v>
      </c>
      <c r="B16" s="13">
        <v>2016</v>
      </c>
      <c r="C16" s="13">
        <v>2.161</v>
      </c>
      <c r="D16" s="13">
        <v>1</v>
      </c>
      <c r="E16" s="13">
        <v>1</v>
      </c>
      <c r="F16" s="13">
        <v>1</v>
      </c>
      <c r="G16" s="13">
        <v>4.2</v>
      </c>
      <c r="H16" s="14">
        <v>57632</v>
      </c>
      <c r="I16" s="13">
        <v>594.8</v>
      </c>
      <c r="J16" s="13" cm="1">
        <f t="array" ref="J16">LN(H16)</f>
        <v>10.9618332479757</v>
      </c>
    </row>
    <row r="17" ht="13.65" customHeight="1">
      <c r="A17" t="s" s="12">
        <v>18</v>
      </c>
      <c r="B17" s="13">
        <v>2005</v>
      </c>
      <c r="C17" s="13">
        <v>3.687</v>
      </c>
      <c r="D17" s="13">
        <v>0</v>
      </c>
      <c r="E17" s="13">
        <v>0</v>
      </c>
      <c r="F17" s="13">
        <v>0</v>
      </c>
      <c r="G17" s="13">
        <v>3.5</v>
      </c>
      <c r="H17" s="14">
        <v>40027</v>
      </c>
      <c r="I17" s="13">
        <v>202.6</v>
      </c>
      <c r="J17" s="13" cm="1">
        <f t="array" ref="J17">LN(H17)</f>
        <v>10.597309505386</v>
      </c>
    </row>
    <row r="18" ht="13.65" customHeight="1">
      <c r="A18" t="s" s="12">
        <v>18</v>
      </c>
      <c r="B18" s="13">
        <v>2006</v>
      </c>
      <c r="C18" s="13">
        <v>3.906</v>
      </c>
      <c r="D18" s="13">
        <v>0</v>
      </c>
      <c r="E18" s="13">
        <v>0</v>
      </c>
      <c r="F18" s="13">
        <v>0</v>
      </c>
      <c r="G18" s="13">
        <v>3.1</v>
      </c>
      <c r="H18" s="14">
        <v>42164</v>
      </c>
      <c r="I18" s="13">
        <v>202.6</v>
      </c>
      <c r="J18" s="13" cm="1">
        <f t="array" ref="J18">LN(H18)</f>
        <v>10.6493220553751</v>
      </c>
    </row>
    <row r="19" ht="13.65" customHeight="1">
      <c r="A19" t="s" s="12">
        <v>18</v>
      </c>
      <c r="B19" s="13">
        <v>2007</v>
      </c>
      <c r="C19" s="13">
        <v>3.901</v>
      </c>
      <c r="D19" s="13">
        <v>0</v>
      </c>
      <c r="E19" s="13">
        <v>0</v>
      </c>
      <c r="F19" s="13">
        <v>0</v>
      </c>
      <c r="G19" s="13">
        <v>3.1</v>
      </c>
      <c r="H19" s="14">
        <v>44020</v>
      </c>
      <c r="I19" s="13">
        <v>202.6</v>
      </c>
      <c r="J19" s="13" cm="1">
        <f t="array" ref="J19">LN(H19)</f>
        <v>10.6923993550805</v>
      </c>
    </row>
    <row r="20" ht="13.65" customHeight="1">
      <c r="A20" t="s" s="12">
        <v>18</v>
      </c>
      <c r="B20" s="13">
        <v>2008</v>
      </c>
      <c r="C20" s="13">
        <v>3.753</v>
      </c>
      <c r="D20" s="13">
        <v>0</v>
      </c>
      <c r="E20" s="13">
        <v>0</v>
      </c>
      <c r="F20" s="13">
        <v>0</v>
      </c>
      <c r="G20" s="13">
        <v>4.1</v>
      </c>
      <c r="H20" s="14">
        <v>45383</v>
      </c>
      <c r="I20" s="13">
        <v>202.6</v>
      </c>
      <c r="J20" s="13" cm="1">
        <f t="array" ref="J20">LN(H20)</f>
        <v>10.7228928645666</v>
      </c>
    </row>
    <row r="21" ht="13.65" customHeight="1">
      <c r="A21" t="s" s="12">
        <v>18</v>
      </c>
      <c r="B21" s="13">
        <v>2009</v>
      </c>
      <c r="C21" s="15">
        <v>3.311</v>
      </c>
      <c r="D21" s="13">
        <v>0</v>
      </c>
      <c r="E21" s="13">
        <v>0</v>
      </c>
      <c r="F21" s="13">
        <v>0</v>
      </c>
      <c r="G21" s="13">
        <v>6.8</v>
      </c>
      <c r="H21" s="14">
        <v>44091</v>
      </c>
      <c r="I21" s="13">
        <v>202.6</v>
      </c>
      <c r="J21" s="13" cm="1">
        <f t="array" ref="J21">LN(H21)</f>
        <v>10.6940109589748</v>
      </c>
    </row>
    <row r="22" ht="13.65" customHeight="1">
      <c r="A22" t="s" s="12">
        <v>18</v>
      </c>
      <c r="B22" s="13">
        <v>2010</v>
      </c>
      <c r="C22" s="15">
        <v>2.817</v>
      </c>
      <c r="D22" s="13">
        <v>0</v>
      </c>
      <c r="E22" s="13">
        <v>0</v>
      </c>
      <c r="F22" s="13">
        <v>0</v>
      </c>
      <c r="G22" s="13">
        <v>6.8</v>
      </c>
      <c r="H22" s="14">
        <v>45442</v>
      </c>
      <c r="I22" s="13">
        <v>202.6</v>
      </c>
      <c r="J22" s="13" cm="1">
        <f t="array" ref="J22">LN(H22)</f>
        <v>10.7241920665109</v>
      </c>
    </row>
    <row r="23" ht="13.65" customHeight="1">
      <c r="A23" t="s" s="12">
        <v>18</v>
      </c>
      <c r="B23" s="13">
        <v>2011</v>
      </c>
      <c r="C23" s="15">
        <v>2.495</v>
      </c>
      <c r="D23" s="13">
        <v>0</v>
      </c>
      <c r="E23" s="13">
        <v>1</v>
      </c>
      <c r="F23" s="13">
        <v>0</v>
      </c>
      <c r="G23" s="13">
        <v>6.3</v>
      </c>
      <c r="H23" s="14">
        <v>47563</v>
      </c>
      <c r="I23" s="13">
        <v>202.6</v>
      </c>
      <c r="J23" s="13" cm="1">
        <f t="array" ref="J23">LN(H23)</f>
        <v>10.7698104270324</v>
      </c>
    </row>
    <row r="24" ht="13.65" customHeight="1">
      <c r="A24" t="s" s="12">
        <v>18</v>
      </c>
      <c r="B24" s="13">
        <v>2012</v>
      </c>
      <c r="C24" s="15">
        <v>2.309</v>
      </c>
      <c r="D24" s="13">
        <v>0</v>
      </c>
      <c r="E24" s="13">
        <v>1</v>
      </c>
      <c r="F24" s="13">
        <v>0</v>
      </c>
      <c r="G24" s="13">
        <v>5.8</v>
      </c>
      <c r="H24" s="14">
        <v>49049</v>
      </c>
      <c r="I24" s="13">
        <v>202.6</v>
      </c>
      <c r="J24" s="13" cm="1">
        <f t="array" ref="J24">LN(H24)</f>
        <v>10.8005750774258</v>
      </c>
    </row>
    <row r="25" ht="13.65" customHeight="1">
      <c r="A25" t="s" s="12">
        <v>18</v>
      </c>
      <c r="B25" s="13">
        <v>2013</v>
      </c>
      <c r="C25" s="15">
        <v>2.53</v>
      </c>
      <c r="D25" s="13">
        <v>0</v>
      </c>
      <c r="E25" s="13">
        <v>1</v>
      </c>
      <c r="F25" s="13">
        <v>0</v>
      </c>
      <c r="G25" s="13">
        <v>5.5</v>
      </c>
      <c r="H25" s="14">
        <v>48195</v>
      </c>
      <c r="I25" s="13">
        <v>202.6</v>
      </c>
      <c r="J25" s="13" cm="1">
        <f t="array" ref="J25">LN(H25)</f>
        <v>10.7830105602181</v>
      </c>
    </row>
    <row r="26" ht="13.65" customHeight="1">
      <c r="A26" t="s" s="12">
        <v>18</v>
      </c>
      <c r="B26" s="13">
        <v>2014</v>
      </c>
      <c r="C26" s="15">
        <v>2.498</v>
      </c>
      <c r="D26" s="13">
        <v>0</v>
      </c>
      <c r="E26" s="13">
        <v>1</v>
      </c>
      <c r="F26" s="13">
        <v>0</v>
      </c>
      <c r="G26" s="13">
        <v>5.1</v>
      </c>
      <c r="H26" s="14">
        <v>49760</v>
      </c>
      <c r="I26" s="13">
        <v>202.6</v>
      </c>
      <c r="J26" s="13" cm="1">
        <f t="array" ref="J26">LN(H26)</f>
        <v>10.8149667274131</v>
      </c>
    </row>
    <row r="27" ht="13.65" customHeight="1">
      <c r="A27" t="s" s="12">
        <v>18</v>
      </c>
      <c r="B27" s="13">
        <v>2015</v>
      </c>
      <c r="C27" s="15">
        <v>2.386</v>
      </c>
      <c r="D27" s="13">
        <v>0</v>
      </c>
      <c r="E27" s="13">
        <v>1</v>
      </c>
      <c r="F27" s="13">
        <v>0</v>
      </c>
      <c r="G27" s="13">
        <v>4.4</v>
      </c>
      <c r="H27" s="14">
        <v>51617</v>
      </c>
      <c r="I27" s="13">
        <v>202.6</v>
      </c>
      <c r="J27" s="13" cm="1">
        <f t="array" ref="J27">LN(H27)</f>
        <v>10.8516063545748</v>
      </c>
    </row>
    <row r="28" ht="13.65" customHeight="1">
      <c r="A28" t="s" s="12">
        <v>18</v>
      </c>
      <c r="B28" s="13">
        <v>2016</v>
      </c>
      <c r="C28" s="15">
        <v>2.568</v>
      </c>
      <c r="D28" s="13">
        <v>0</v>
      </c>
      <c r="E28" s="13">
        <v>1</v>
      </c>
      <c r="F28" s="13">
        <v>0</v>
      </c>
      <c r="G28" s="13">
        <v>4</v>
      </c>
      <c r="H28" s="14">
        <v>52656</v>
      </c>
      <c r="I28" s="13">
        <v>202.6</v>
      </c>
      <c r="J28" s="13" cm="1">
        <f t="array" ref="J28">LN(H28)</f>
        <v>10.8715354711831</v>
      </c>
    </row>
    <row r="29" ht="13.55" customHeight="1">
      <c r="A29" s="16"/>
      <c r="B29" s="17"/>
      <c r="C29" s="17"/>
      <c r="D29" s="17"/>
      <c r="E29" s="17"/>
      <c r="F29" s="17"/>
      <c r="G29" s="17"/>
      <c r="H29" s="17"/>
      <c r="I29" s="17"/>
      <c r="J29" s="17"/>
    </row>
    <row r="30" ht="32" customHeight="1">
      <c r="A30" s="18"/>
      <c r="B30" s="19"/>
      <c r="C30" s="8"/>
      <c r="D30" s="8"/>
      <c r="E30" s="8"/>
      <c r="F30" s="8"/>
      <c r="G30" s="8"/>
      <c r="H30" s="8"/>
      <c r="I30" s="8"/>
      <c r="J30" s="8"/>
    </row>
  </sheetData>
  <mergeCells count="1">
    <mergeCell ref="A30:J30"/>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H56"/>
  <sheetViews>
    <sheetView workbookViewId="0" showGridLines="0" defaultGridColor="1"/>
  </sheetViews>
  <sheetFormatPr defaultColWidth="8.83333" defaultRowHeight="15" customHeight="1" outlineLevelRow="0" outlineLevelCol="0"/>
  <cols>
    <col min="1" max="8" width="15" style="20" customWidth="1"/>
    <col min="9" max="16384" width="8.85156" style="20" customWidth="1"/>
  </cols>
  <sheetData>
    <row r="1" ht="16.6" customHeight="1">
      <c r="A1" t="s" s="7">
        <v>20</v>
      </c>
      <c r="B1" s="8"/>
      <c r="C1" s="8"/>
      <c r="D1" s="8"/>
      <c r="E1" s="8"/>
      <c r="F1" s="8"/>
      <c r="G1" s="8"/>
      <c r="H1" s="8"/>
    </row>
    <row r="2" ht="13.55" customHeight="1">
      <c r="A2" s="9"/>
      <c r="B2" s="8"/>
      <c r="C2" s="8"/>
      <c r="D2" s="8"/>
      <c r="E2" s="8"/>
      <c r="F2" s="8"/>
      <c r="G2" s="8"/>
      <c r="H2" s="8"/>
    </row>
    <row r="3" ht="13.55" customHeight="1">
      <c r="A3" s="10"/>
      <c r="B3" s="10"/>
      <c r="C3" s="10"/>
      <c r="D3" s="10"/>
      <c r="E3" s="10"/>
      <c r="F3" s="10"/>
      <c r="G3" s="10"/>
      <c r="H3" s="10"/>
    </row>
    <row r="4" ht="24.65" customHeight="1">
      <c r="A4" t="s" s="11">
        <v>7</v>
      </c>
      <c r="B4" t="s" s="11">
        <v>9</v>
      </c>
      <c r="C4" t="s" s="11">
        <v>21</v>
      </c>
      <c r="D4" t="s" s="11">
        <v>22</v>
      </c>
      <c r="E4" t="s" s="11">
        <v>15</v>
      </c>
      <c r="F4" t="s" s="11">
        <v>13</v>
      </c>
      <c r="G4" t="s" s="11">
        <v>14</v>
      </c>
      <c r="H4" t="s" s="11">
        <v>16</v>
      </c>
    </row>
    <row r="5" ht="13.65" customHeight="1">
      <c r="A5" t="s" s="12">
        <v>23</v>
      </c>
      <c r="B5" s="13">
        <v>6.757</v>
      </c>
      <c r="C5" s="13">
        <v>1.05</v>
      </c>
      <c r="D5" s="13">
        <v>77</v>
      </c>
      <c r="E5" s="13">
        <v>94.40000000000001</v>
      </c>
      <c r="F5" s="13">
        <v>5.7</v>
      </c>
      <c r="G5" s="15">
        <v>32220</v>
      </c>
      <c r="H5" s="13" cm="1">
        <f t="array" ref="H5">LN(G5)</f>
        <v>10.380342656731</v>
      </c>
    </row>
    <row r="6" ht="13.65" customHeight="1">
      <c r="A6" t="s" s="12">
        <v>24</v>
      </c>
      <c r="B6" s="13">
        <v>3.06</v>
      </c>
      <c r="C6" s="13">
        <v>1.07</v>
      </c>
      <c r="D6" s="13">
        <v>45</v>
      </c>
      <c r="E6" s="13">
        <v>1.2</v>
      </c>
      <c r="F6" s="13">
        <v>6.6</v>
      </c>
      <c r="G6" s="15">
        <v>48069</v>
      </c>
      <c r="H6" s="13" cm="1">
        <f t="array" ref="H6">LN(G6)</f>
        <v>10.780392757676</v>
      </c>
    </row>
    <row r="7" ht="13.65" customHeight="1">
      <c r="A7" t="s" s="12">
        <v>25</v>
      </c>
      <c r="B7" s="13">
        <v>4.092</v>
      </c>
      <c r="C7" s="13">
        <v>0.16</v>
      </c>
      <c r="D7" s="13">
        <v>53</v>
      </c>
      <c r="E7" s="13">
        <v>56.3</v>
      </c>
      <c r="F7" s="13">
        <v>5.1</v>
      </c>
      <c r="G7" s="15">
        <v>35682</v>
      </c>
      <c r="H7" s="13" cm="1">
        <f t="array" ref="H7">LN(G7)</f>
        <v>10.4824016389346</v>
      </c>
    </row>
    <row r="8" ht="13.65" customHeight="1">
      <c r="A8" t="s" s="12">
        <v>26</v>
      </c>
      <c r="B8" s="13">
        <v>5.989</v>
      </c>
      <c r="C8" s="13">
        <v>0.23</v>
      </c>
      <c r="D8" s="13">
        <v>70</v>
      </c>
      <c r="E8" s="13">
        <v>56</v>
      </c>
      <c r="F8" s="13">
        <v>5.1</v>
      </c>
      <c r="G8" s="15">
        <v>31951</v>
      </c>
      <c r="H8" s="13" cm="1">
        <f t="array" ref="H8">LN(G8)</f>
        <v>10.3719587582204</v>
      </c>
    </row>
    <row r="9" ht="13.65" customHeight="1">
      <c r="A9" t="s" s="12">
        <v>27</v>
      </c>
      <c r="B9" s="13">
        <v>2.799</v>
      </c>
      <c r="C9" s="13">
        <v>0.2</v>
      </c>
      <c r="D9" s="13">
        <v>49</v>
      </c>
      <c r="E9" s="13">
        <v>239.1</v>
      </c>
      <c r="F9" s="13">
        <v>7.2</v>
      </c>
      <c r="G9" s="15">
        <v>46164</v>
      </c>
      <c r="H9" s="13" cm="1">
        <f t="array" ref="H9">LN(G9)</f>
        <v>10.7399555525403</v>
      </c>
    </row>
    <row r="10" ht="13.65" customHeight="1">
      <c r="A10" t="s" s="12">
        <v>28</v>
      </c>
      <c r="B10" s="13">
        <v>3.502</v>
      </c>
      <c r="C10" s="13">
        <v>0.08</v>
      </c>
      <c r="D10" s="13">
        <v>47</v>
      </c>
      <c r="E10" s="13">
        <v>48.5</v>
      </c>
      <c r="F10" s="13">
        <v>4.9</v>
      </c>
      <c r="G10" s="15">
        <v>44387</v>
      </c>
      <c r="H10" s="13" cm="1">
        <f t="array" ref="H10">LN(G10)</f>
        <v>10.7007019127553</v>
      </c>
    </row>
    <row r="11" ht="13.65" customHeight="1">
      <c r="A11" t="s" s="12">
        <v>29</v>
      </c>
      <c r="B11" s="13">
        <v>2.456</v>
      </c>
      <c r="C11" s="13">
        <v>0.2</v>
      </c>
      <c r="D11" s="13">
        <v>43</v>
      </c>
      <c r="E11" s="13">
        <v>738.1</v>
      </c>
      <c r="F11" s="13">
        <v>5.7</v>
      </c>
      <c r="G11" s="15">
        <v>57467</v>
      </c>
      <c r="H11" s="13" cm="1">
        <f t="array" ref="H11">LN(G11)</f>
        <v>10.9589661489908</v>
      </c>
    </row>
    <row r="12" ht="13.65" customHeight="1">
      <c r="A12" t="s" s="12">
        <v>30</v>
      </c>
      <c r="B12" s="13">
        <v>5.154</v>
      </c>
      <c r="C12" s="13">
        <v>0.16</v>
      </c>
      <c r="D12" s="13">
        <v>52</v>
      </c>
      <c r="E12" s="13">
        <v>460.8</v>
      </c>
      <c r="F12" s="13">
        <v>4.7</v>
      </c>
      <c r="G12" s="15">
        <v>42604</v>
      </c>
      <c r="H12" s="13" cm="1">
        <f t="array" ref="H12">LN(G12)</f>
        <v>10.6597034245631</v>
      </c>
    </row>
    <row r="13" ht="13.65" customHeight="1">
      <c r="A13" t="s" s="12">
        <v>31</v>
      </c>
      <c r="B13" s="13">
        <v>4.774</v>
      </c>
      <c r="C13" s="13">
        <v>0.48</v>
      </c>
      <c r="D13" s="13">
        <v>54</v>
      </c>
      <c r="E13" s="13">
        <v>350.6</v>
      </c>
      <c r="F13" s="13">
        <v>6.4</v>
      </c>
      <c r="G13" s="15">
        <v>39753</v>
      </c>
      <c r="H13" s="13" cm="1">
        <f t="array" ref="H13">LN(G13)</f>
        <v>10.5904405889327</v>
      </c>
    </row>
    <row r="14" ht="13.65" customHeight="1">
      <c r="A14" t="s" s="12">
        <v>32</v>
      </c>
      <c r="B14" s="13">
        <v>4.295</v>
      </c>
      <c r="C14" s="13">
        <v>1.01</v>
      </c>
      <c r="D14" s="13">
        <v>66</v>
      </c>
      <c r="E14" s="13">
        <v>168.4</v>
      </c>
      <c r="F14" s="13">
        <v>6.2</v>
      </c>
      <c r="G14" s="15">
        <v>35497</v>
      </c>
      <c r="H14" s="13" cm="1">
        <f t="array" ref="H14">LN(G14)</f>
        <v>10.4772034648503</v>
      </c>
    </row>
    <row r="15" ht="13.65" customHeight="1">
      <c r="A15" t="s" s="12">
        <v>33</v>
      </c>
      <c r="B15" s="13">
        <v>3.26</v>
      </c>
      <c r="C15" s="13">
        <v>0.93</v>
      </c>
      <c r="D15" s="13">
        <v>47</v>
      </c>
      <c r="E15" s="13">
        <v>211.8</v>
      </c>
      <c r="F15" s="13">
        <v>4.1</v>
      </c>
      <c r="G15" s="15">
        <v>42800</v>
      </c>
      <c r="H15" s="13" cm="1">
        <f t="array" ref="H15">LN(G15)</f>
        <v>10.6642933815699</v>
      </c>
    </row>
    <row r="16" ht="13.65" customHeight="1">
      <c r="A16" t="s" s="12">
        <v>34</v>
      </c>
      <c r="B16" s="13">
        <v>5.119</v>
      </c>
      <c r="C16" s="13">
        <v>0.15</v>
      </c>
      <c r="D16" s="13">
        <v>51</v>
      </c>
      <c r="E16" s="13">
        <v>19</v>
      </c>
      <c r="F16" s="13">
        <v>4.4</v>
      </c>
      <c r="G16" s="15">
        <v>32556</v>
      </c>
      <c r="H16" s="13" cm="1">
        <f t="array" ref="H16">LN(G16)</f>
        <v>10.3907169624469</v>
      </c>
    </row>
    <row r="17" ht="13.65" customHeight="1">
      <c r="A17" t="s" s="12">
        <v>35</v>
      </c>
      <c r="B17" s="13">
        <v>2.806</v>
      </c>
      <c r="C17" s="13">
        <v>0.185</v>
      </c>
      <c r="D17" s="13">
        <v>53</v>
      </c>
      <c r="E17" s="13">
        <v>231.1</v>
      </c>
      <c r="F17" s="13">
        <v>6.4</v>
      </c>
      <c r="G17" s="15">
        <v>43609</v>
      </c>
      <c r="H17" s="13" cm="1">
        <f t="array" ref="H17">LN(G17)</f>
        <v>10.6830188300534</v>
      </c>
    </row>
    <row r="18" ht="13.65" customHeight="1">
      <c r="A18" t="s" s="12">
        <v>36</v>
      </c>
      <c r="B18" s="13">
        <v>3.262</v>
      </c>
      <c r="C18" s="13">
        <v>0.115</v>
      </c>
      <c r="D18" s="13">
        <v>54</v>
      </c>
      <c r="E18" s="13">
        <v>181</v>
      </c>
      <c r="F18" s="13">
        <v>5.8</v>
      </c>
      <c r="G18" s="15">
        <v>34516</v>
      </c>
      <c r="H18" s="13" cm="1">
        <f t="array" ref="H18">LN(G18)</f>
        <v>10.4491782636282</v>
      </c>
    </row>
    <row r="19" ht="13.65" customHeight="1">
      <c r="A19" t="s" s="12">
        <v>37</v>
      </c>
      <c r="B19" s="13">
        <v>2.964</v>
      </c>
      <c r="C19" s="13">
        <v>0.19</v>
      </c>
      <c r="D19" s="13">
        <v>52</v>
      </c>
      <c r="E19" s="13">
        <v>54.5</v>
      </c>
      <c r="F19" s="13">
        <v>3.8</v>
      </c>
      <c r="G19" s="15">
        <v>37265</v>
      </c>
      <c r="H19" s="13" cm="1">
        <f t="array" ref="H19">LN(G19)</f>
        <v>10.5258098273158</v>
      </c>
    </row>
    <row r="20" ht="13.65" customHeight="1">
      <c r="A20" t="s" s="12">
        <v>38</v>
      </c>
      <c r="B20" s="13">
        <v>5.175</v>
      </c>
      <c r="C20" s="13">
        <v>0.18</v>
      </c>
      <c r="D20" s="13">
        <v>58</v>
      </c>
      <c r="E20" s="13">
        <v>35</v>
      </c>
      <c r="F20" s="13">
        <v>4.3</v>
      </c>
      <c r="G20" s="15">
        <v>38672</v>
      </c>
      <c r="H20" s="13" cm="1">
        <f t="array" ref="H20">LN(G20)</f>
        <v>10.5628711029433</v>
      </c>
    </row>
    <row r="21" ht="13.65" customHeight="1">
      <c r="A21" t="s" s="12">
        <v>39</v>
      </c>
      <c r="B21" s="13">
        <v>4.685</v>
      </c>
      <c r="C21" s="13">
        <v>0.08</v>
      </c>
      <c r="D21" s="13">
        <v>63</v>
      </c>
      <c r="E21" s="13">
        <v>109.9</v>
      </c>
      <c r="F21" s="13">
        <v>6.4</v>
      </c>
      <c r="G21" s="15">
        <v>31998</v>
      </c>
      <c r="H21" s="13" cm="1">
        <f t="array" ref="H21">LN(G21)</f>
        <v>10.3734286798287</v>
      </c>
    </row>
    <row r="22" ht="13.65" customHeight="1">
      <c r="A22" t="s" s="12">
        <v>40</v>
      </c>
      <c r="B22" s="13">
        <v>7.663</v>
      </c>
      <c r="C22" s="13">
        <v>0.32</v>
      </c>
      <c r="D22" s="13">
        <v>71</v>
      </c>
      <c r="E22" s="13">
        <v>104.9</v>
      </c>
      <c r="F22" s="13">
        <v>4.7</v>
      </c>
      <c r="G22" s="15">
        <v>35552</v>
      </c>
      <c r="H22" s="13" cm="1">
        <f t="array" ref="H22">LN(G22)</f>
        <v>10.4787516924394</v>
      </c>
    </row>
    <row r="23" ht="13.65" customHeight="1">
      <c r="A23" t="s" s="12">
        <v>41</v>
      </c>
      <c r="B23" s="13">
        <v>3.266</v>
      </c>
      <c r="C23" s="13">
        <v>0.35</v>
      </c>
      <c r="D23" s="13">
        <v>34</v>
      </c>
      <c r="E23" s="13">
        <v>43.1</v>
      </c>
      <c r="F23" s="13">
        <v>5.4</v>
      </c>
      <c r="G23" s="15">
        <v>36696</v>
      </c>
      <c r="H23" s="13" cm="1">
        <f t="array" ref="H23">LN(G23)</f>
        <v>10.510423036277</v>
      </c>
    </row>
    <row r="24" ht="13.65" customHeight="1">
      <c r="A24" t="s" s="12">
        <v>17</v>
      </c>
      <c r="B24" s="13">
        <v>2.687</v>
      </c>
      <c r="C24" s="13">
        <v>0.09</v>
      </c>
      <c r="D24" s="13">
        <v>54</v>
      </c>
      <c r="E24" s="13">
        <v>594.8</v>
      </c>
      <c r="F24" s="13">
        <v>4.3</v>
      </c>
      <c r="G24" s="14">
        <v>49186</v>
      </c>
      <c r="H24" s="13" cm="1">
        <f t="array" ref="H24">LN(G24)</f>
        <v>10.803364309142</v>
      </c>
    </row>
    <row r="25" ht="13.65" customHeight="1">
      <c r="A25" t="s" s="12">
        <v>42</v>
      </c>
      <c r="B25" s="13">
        <v>1.908</v>
      </c>
      <c r="C25" s="13">
        <v>0.11</v>
      </c>
      <c r="D25" s="13">
        <v>33</v>
      </c>
      <c r="E25" s="13">
        <v>839.4</v>
      </c>
      <c r="F25" s="13">
        <v>5.3</v>
      </c>
      <c r="G25" s="15">
        <v>53163</v>
      </c>
      <c r="H25" s="13" cm="1">
        <f t="array" ref="H25">LN(G25)</f>
        <v>10.8811179446435</v>
      </c>
    </row>
    <row r="26" ht="13.65" customHeight="1">
      <c r="A26" t="s" s="12">
        <v>43</v>
      </c>
      <c r="B26" s="13">
        <v>2.836</v>
      </c>
      <c r="C26" s="13">
        <v>0.2</v>
      </c>
      <c r="D26" s="13">
        <v>53</v>
      </c>
      <c r="E26" s="13">
        <v>174.8</v>
      </c>
      <c r="F26" s="13">
        <v>8.300000000000001</v>
      </c>
      <c r="G26" s="15">
        <v>35200</v>
      </c>
      <c r="H26" s="13" cm="1">
        <f t="array" ref="H26">LN(G26)</f>
        <v>10.4688013615862</v>
      </c>
    </row>
    <row r="27" ht="13.65" customHeight="1">
      <c r="A27" t="s" s="12">
        <v>44</v>
      </c>
      <c r="B27" s="13">
        <v>2.586</v>
      </c>
      <c r="C27" s="13">
        <v>0.15</v>
      </c>
      <c r="D27" s="13">
        <v>47</v>
      </c>
      <c r="E27" s="13">
        <v>66.59999999999999</v>
      </c>
      <c r="F27" s="13">
        <v>5.3</v>
      </c>
      <c r="G27" s="15">
        <v>43730</v>
      </c>
      <c r="H27" s="13" cm="1">
        <f t="array" ref="H27">LN(G27)</f>
        <v>10.685789644407</v>
      </c>
    </row>
    <row r="28" ht="13.65" customHeight="1">
      <c r="A28" t="s" s="12">
        <v>45</v>
      </c>
      <c r="B28" s="13">
        <v>9.052</v>
      </c>
      <c r="C28" s="13">
        <v>0.4268</v>
      </c>
      <c r="D28" s="13">
        <v>77</v>
      </c>
      <c r="E28" s="13">
        <v>63.2</v>
      </c>
      <c r="F28" s="13">
        <v>7</v>
      </c>
      <c r="G28" s="15">
        <v>28932</v>
      </c>
      <c r="H28" s="13" cm="1">
        <f t="array" ref="H28">LN(G28)</f>
        <v>10.2727035279692</v>
      </c>
    </row>
    <row r="29" ht="13.65" customHeight="1">
      <c r="A29" t="s" s="12">
        <v>46</v>
      </c>
      <c r="B29" s="13">
        <v>5.244</v>
      </c>
      <c r="C29" s="13">
        <v>0.06</v>
      </c>
      <c r="D29" s="13">
        <v>63</v>
      </c>
      <c r="E29" s="13">
        <v>87.09999999999999</v>
      </c>
      <c r="F29" s="13">
        <v>5.9</v>
      </c>
      <c r="G29" s="15">
        <v>36384</v>
      </c>
      <c r="H29" s="13" cm="1">
        <f t="array" ref="H29">LN(G29)</f>
        <v>10.5018843965503</v>
      </c>
    </row>
    <row r="30" ht="13.65" customHeight="1">
      <c r="A30" t="s" s="12">
        <v>47</v>
      </c>
      <c r="B30" s="13">
        <v>9.406000000000001</v>
      </c>
      <c r="C30" s="13">
        <v>0.14</v>
      </c>
      <c r="D30" s="13">
        <v>49</v>
      </c>
      <c r="E30" s="13">
        <v>6.8</v>
      </c>
      <c r="F30" s="13">
        <v>4.6</v>
      </c>
      <c r="G30" s="15">
        <v>34123</v>
      </c>
      <c r="H30" s="13" cm="1">
        <f t="array" ref="H30">LN(G30)</f>
        <v>10.4377269227111</v>
      </c>
    </row>
    <row r="31" ht="13.65" customHeight="1">
      <c r="A31" t="s" s="12">
        <v>48</v>
      </c>
      <c r="B31" s="13">
        <v>3.061</v>
      </c>
      <c r="C31" s="13">
        <v>0.31</v>
      </c>
      <c r="D31" s="13">
        <v>54</v>
      </c>
      <c r="E31" s="13">
        <v>23.8</v>
      </c>
      <c r="F31" s="13">
        <v>3.3</v>
      </c>
      <c r="G31" s="15">
        <v>39568</v>
      </c>
      <c r="H31" s="13" cm="1">
        <f t="array" ref="H31">LN(G31)</f>
        <v>10.5857759897612</v>
      </c>
    </row>
    <row r="32" ht="13.65" customHeight="1">
      <c r="A32" t="s" s="12">
        <v>49</v>
      </c>
      <c r="B32" s="13">
        <v>4.115</v>
      </c>
      <c r="C32" s="13">
        <v>0.16</v>
      </c>
      <c r="D32" s="13">
        <v>47</v>
      </c>
      <c r="E32" s="13">
        <v>24.6</v>
      </c>
      <c r="F32" s="13">
        <v>7.2</v>
      </c>
      <c r="G32" s="15">
        <v>42313</v>
      </c>
      <c r="H32" s="13" cm="1">
        <f t="array" ref="H32">LN(G32)</f>
        <v>10.6528496464238</v>
      </c>
    </row>
    <row r="33" ht="13.65" customHeight="1">
      <c r="A33" t="s" s="12">
        <v>50</v>
      </c>
      <c r="B33" s="13">
        <v>3.42</v>
      </c>
      <c r="C33" s="13">
        <v>0.3</v>
      </c>
      <c r="D33" s="13">
        <v>33</v>
      </c>
      <c r="E33" s="13">
        <v>147</v>
      </c>
      <c r="F33" s="13">
        <v>4.3</v>
      </c>
      <c r="G33" s="15">
        <v>46494</v>
      </c>
      <c r="H33" s="13" cm="1">
        <f t="array" ref="H33">LN(G33)</f>
        <v>10.747078550992</v>
      </c>
    </row>
    <row r="34" ht="13.65" customHeight="1">
      <c r="A34" t="s" s="12">
        <v>51</v>
      </c>
      <c r="B34" s="13">
        <v>1.774</v>
      </c>
      <c r="C34" s="13">
        <v>0.12</v>
      </c>
      <c r="D34" s="13">
        <v>52</v>
      </c>
      <c r="E34" s="13">
        <v>1195.5</v>
      </c>
      <c r="F34" s="13">
        <v>5.6</v>
      </c>
      <c r="G34" s="15">
        <v>54699</v>
      </c>
      <c r="H34" s="13" cm="1">
        <f t="array" ref="H34">LN(G34)</f>
        <v>10.9096007067073</v>
      </c>
    </row>
    <row r="35" ht="13.65" customHeight="1">
      <c r="A35" t="s" s="12">
        <v>52</v>
      </c>
      <c r="B35" s="13">
        <v>5.291</v>
      </c>
      <c r="C35" s="13">
        <v>0.41</v>
      </c>
      <c r="D35" s="13">
        <v>57</v>
      </c>
      <c r="E35" s="13">
        <v>17</v>
      </c>
      <c r="F35" s="13">
        <v>4.7</v>
      </c>
      <c r="G35" s="15">
        <v>33054</v>
      </c>
      <c r="H35" s="13" cm="1">
        <f t="array" ref="H35">LN(G35)</f>
        <v>10.4058978667008</v>
      </c>
    </row>
    <row r="36" ht="13.65" customHeight="1">
      <c r="A36" t="s" s="12">
        <v>53</v>
      </c>
      <c r="B36" s="13">
        <v>1.75</v>
      </c>
      <c r="C36" s="13">
        <v>0.11</v>
      </c>
      <c r="D36" s="13">
        <v>46</v>
      </c>
      <c r="E36" s="13">
        <v>411.2</v>
      </c>
      <c r="F36" s="13">
        <v>5.4</v>
      </c>
      <c r="G36" s="15">
        <v>52084</v>
      </c>
      <c r="H36" s="13" cm="1">
        <f t="array" ref="H36">LN(G36)</f>
        <v>10.8606130788486</v>
      </c>
    </row>
    <row r="37" ht="13.65" customHeight="1">
      <c r="A37" t="s" s="12">
        <v>54</v>
      </c>
      <c r="B37" s="13">
        <v>4.587</v>
      </c>
      <c r="C37" s="13">
        <v>0.5318000000000001</v>
      </c>
      <c r="D37" s="13">
        <v>65</v>
      </c>
      <c r="E37" s="13">
        <v>196.1</v>
      </c>
      <c r="F37" s="13">
        <v>6.3</v>
      </c>
      <c r="G37" s="15">
        <v>33937</v>
      </c>
      <c r="H37" s="13" cm="1">
        <f t="array" ref="H37">LN(G37)</f>
        <v>10.4322611436028</v>
      </c>
    </row>
    <row r="38" ht="13.65" customHeight="1">
      <c r="A38" t="s" s="12">
        <v>55</v>
      </c>
      <c r="B38" s="13">
        <v>7.327</v>
      </c>
      <c r="C38" s="13">
        <v>0.16</v>
      </c>
      <c r="D38" s="13">
        <v>59</v>
      </c>
      <c r="E38" s="13">
        <v>9.699999999999999</v>
      </c>
      <c r="F38" s="13">
        <v>3.1</v>
      </c>
      <c r="G38" s="15">
        <v>40528</v>
      </c>
      <c r="H38" s="13" cm="1">
        <f t="array" ref="H38">LN(G38)</f>
        <v>10.6097483722415</v>
      </c>
    </row>
    <row r="39" ht="13.65" customHeight="1">
      <c r="A39" t="s" s="12">
        <v>56</v>
      </c>
      <c r="B39" s="13">
        <v>3.099</v>
      </c>
      <c r="C39" s="13">
        <v>0.18</v>
      </c>
      <c r="D39" s="13">
        <v>58</v>
      </c>
      <c r="E39" s="13">
        <v>282.3</v>
      </c>
      <c r="F39" s="13">
        <v>6.5</v>
      </c>
      <c r="G39" s="15">
        <v>37061</v>
      </c>
      <c r="H39" s="13" cm="1">
        <f t="array" ref="H39">LN(G39)</f>
        <v>10.5203204827457</v>
      </c>
    </row>
    <row r="40" ht="13.65" customHeight="1">
      <c r="A40" t="s" s="12">
        <v>57</v>
      </c>
      <c r="B40" s="13">
        <v>6.699</v>
      </c>
      <c r="C40" s="13">
        <v>0.4</v>
      </c>
      <c r="D40" s="13">
        <v>66</v>
      </c>
      <c r="E40" s="13">
        <v>54.7</v>
      </c>
      <c r="F40" s="13">
        <v>3.8</v>
      </c>
      <c r="G40" s="15">
        <v>36754</v>
      </c>
      <c r="H40" s="13" cm="1">
        <f t="array" ref="H40">LN(G40)</f>
        <v>10.5120023422554</v>
      </c>
    </row>
    <row r="41" ht="13.65" customHeight="1">
      <c r="A41" t="s" s="12">
        <v>58</v>
      </c>
      <c r="B41" s="13">
        <v>3.588</v>
      </c>
      <c r="C41" s="13">
        <v>0.08</v>
      </c>
      <c r="D41" s="13">
        <v>40</v>
      </c>
      <c r="E41" s="13">
        <v>39.9</v>
      </c>
      <c r="F41" s="13">
        <v>6.5</v>
      </c>
      <c r="G41" s="15">
        <v>37032</v>
      </c>
      <c r="H41" s="13" cm="1">
        <f t="array" ref="H41">LN(G41)</f>
        <v>10.5195376827111</v>
      </c>
    </row>
    <row r="42" ht="13.65" customHeight="1">
      <c r="A42" t="s" s="12">
        <v>59</v>
      </c>
      <c r="B42" s="13">
        <v>3.984</v>
      </c>
      <c r="C42" s="13">
        <v>0.08</v>
      </c>
      <c r="D42" s="13">
        <v>53</v>
      </c>
      <c r="E42" s="13">
        <v>283.9</v>
      </c>
      <c r="F42" s="13">
        <v>5.4</v>
      </c>
      <c r="G42" s="15">
        <v>41499</v>
      </c>
      <c r="H42" s="13" cm="1">
        <f t="array" ref="H42">LN(G42)</f>
        <v>10.6334246095429</v>
      </c>
    </row>
    <row r="43" ht="13.65" customHeight="1">
      <c r="A43" t="s" s="12">
        <v>60</v>
      </c>
      <c r="B43" s="13">
        <v>2.379</v>
      </c>
      <c r="C43" s="13">
        <v>0.11</v>
      </c>
      <c r="D43" s="13">
        <v>42</v>
      </c>
      <c r="E43" s="13">
        <v>1018.1</v>
      </c>
      <c r="F43" s="13">
        <v>7.7</v>
      </c>
      <c r="G43" s="15">
        <v>44311</v>
      </c>
      <c r="H43" s="13" cm="1">
        <f t="array" ref="H43">LN(G43)</f>
        <v>10.6989882322079</v>
      </c>
    </row>
    <row r="44" ht="13.65" customHeight="1">
      <c r="A44" t="s" s="12">
        <v>61</v>
      </c>
      <c r="B44" s="13">
        <v>8.996</v>
      </c>
      <c r="C44" s="13">
        <v>0.77</v>
      </c>
      <c r="D44" s="13">
        <v>70</v>
      </c>
      <c r="E44" s="13">
        <v>153.9</v>
      </c>
      <c r="F44" s="13">
        <v>7</v>
      </c>
      <c r="G44" s="15">
        <v>33027</v>
      </c>
      <c r="H44" s="13" cm="1">
        <f t="array" ref="H44">LN(G44)</f>
        <v>10.4050806877385</v>
      </c>
    </row>
    <row r="45" ht="13.65" customHeight="1">
      <c r="A45" t="s" s="12">
        <v>62</v>
      </c>
      <c r="B45" s="13">
        <v>4.228</v>
      </c>
      <c r="C45" s="13">
        <v>0.27</v>
      </c>
      <c r="D45" s="13">
        <v>59</v>
      </c>
      <c r="E45" s="13">
        <v>10.7</v>
      </c>
      <c r="F45" s="13">
        <v>3.2</v>
      </c>
      <c r="G45" s="15">
        <v>39582</v>
      </c>
      <c r="H45" s="13" cm="1">
        <f t="array" ref="H45">LN(G45)</f>
        <v>10.5861297484509</v>
      </c>
    </row>
    <row r="46" ht="13.65" customHeight="1">
      <c r="A46" t="s" s="12">
        <v>63</v>
      </c>
      <c r="B46" s="13">
        <v>5.262</v>
      </c>
      <c r="C46" s="13">
        <v>0.14</v>
      </c>
      <c r="D46" s="13">
        <v>73</v>
      </c>
      <c r="E46" s="13">
        <v>153.9</v>
      </c>
      <c r="F46" s="13">
        <v>6.4</v>
      </c>
      <c r="G46" s="15">
        <v>33752</v>
      </c>
      <c r="H46" s="13" cm="1">
        <f t="array" ref="H46">LN(G46)</f>
        <v>10.4267949538042</v>
      </c>
    </row>
    <row r="47" ht="13.65" customHeight="1">
      <c r="A47" t="s" s="12">
        <v>64</v>
      </c>
      <c r="B47" s="13">
        <v>5.216</v>
      </c>
      <c r="C47" s="13">
        <v>0.2</v>
      </c>
      <c r="D47" s="13">
        <v>64</v>
      </c>
      <c r="E47" s="13">
        <v>96.3</v>
      </c>
      <c r="F47" s="13">
        <v>4.4</v>
      </c>
      <c r="G47" s="15">
        <v>38609</v>
      </c>
      <c r="H47" s="13" cm="1">
        <f t="array" ref="H47">LN(G47)</f>
        <v>10.561240688897</v>
      </c>
    </row>
    <row r="48" ht="13.65" customHeight="1">
      <c r="A48" t="s" s="12">
        <v>65</v>
      </c>
      <c r="B48" s="13">
        <v>1.681</v>
      </c>
      <c r="C48" s="13">
        <v>0.41</v>
      </c>
      <c r="D48" s="13">
        <v>69</v>
      </c>
      <c r="E48" s="13">
        <v>33.6</v>
      </c>
      <c r="F48" s="13">
        <v>3.2</v>
      </c>
      <c r="G48" s="15">
        <v>32702</v>
      </c>
      <c r="H48" s="13" cm="1">
        <f t="array" ref="H48">LN(G48)</f>
        <v>10.3951915170945</v>
      </c>
    </row>
    <row r="49" ht="13.65" customHeight="1">
      <c r="A49" t="s" s="12">
        <v>66</v>
      </c>
      <c r="B49" s="13">
        <v>1.932</v>
      </c>
      <c r="C49" s="13">
        <v>0.265</v>
      </c>
      <c r="D49" s="13">
        <v>34</v>
      </c>
      <c r="E49" s="13">
        <v>67.90000000000001</v>
      </c>
      <c r="F49" s="13">
        <v>4.7</v>
      </c>
      <c r="G49" s="15">
        <v>40068</v>
      </c>
      <c r="H49" s="13" cm="1">
        <f t="array" ref="H49">LN(G49)</f>
        <v>10.5983332897317</v>
      </c>
    </row>
    <row r="50" ht="13.65" customHeight="1">
      <c r="A50" t="s" s="12">
        <v>18</v>
      </c>
      <c r="B50" s="13">
        <v>3.753</v>
      </c>
      <c r="C50" s="13">
        <v>0.2565</v>
      </c>
      <c r="D50" s="13">
        <v>56</v>
      </c>
      <c r="E50" s="13">
        <v>202.6</v>
      </c>
      <c r="F50" s="13">
        <v>4.1</v>
      </c>
      <c r="G50" s="14">
        <v>45383</v>
      </c>
      <c r="H50" s="13" cm="1">
        <f t="array" ref="H50">LN(G50)</f>
        <v>10.7228928645666</v>
      </c>
    </row>
    <row r="51" ht="13.65" customHeight="1">
      <c r="A51" t="s" s="12">
        <v>67</v>
      </c>
      <c r="B51" s="13">
        <v>2.779</v>
      </c>
      <c r="C51" s="13">
        <v>0.26</v>
      </c>
      <c r="D51" s="13">
        <v>40</v>
      </c>
      <c r="E51" s="13">
        <v>101.2</v>
      </c>
      <c r="F51" s="13">
        <v>5.5</v>
      </c>
      <c r="G51" s="15">
        <v>43830</v>
      </c>
      <c r="H51" s="13" cm="1">
        <f t="array" ref="H51">LN(G51)</f>
        <v>10.6880737934129</v>
      </c>
    </row>
    <row r="52" ht="13.65" customHeight="1">
      <c r="A52" t="s" s="12">
        <v>68</v>
      </c>
      <c r="B52" s="13">
        <v>7.054</v>
      </c>
      <c r="C52" s="13">
        <v>0.18</v>
      </c>
      <c r="D52" s="13">
        <v>66</v>
      </c>
      <c r="E52" s="13">
        <v>77.09999999999999</v>
      </c>
      <c r="F52" s="13">
        <v>4.3</v>
      </c>
      <c r="G52" s="15">
        <v>30490</v>
      </c>
      <c r="H52" s="13" cm="1">
        <f t="array" ref="H52">LN(G52)</f>
        <v>10.3251540399823</v>
      </c>
    </row>
    <row r="53" ht="13.65" customHeight="1">
      <c r="A53" t="s" s="12">
        <v>69</v>
      </c>
      <c r="B53" s="13">
        <v>3.696</v>
      </c>
      <c r="C53" s="13">
        <v>0.06</v>
      </c>
      <c r="D53" s="13">
        <v>51</v>
      </c>
      <c r="E53" s="13">
        <v>105</v>
      </c>
      <c r="F53" s="13">
        <v>4.8</v>
      </c>
      <c r="G53" s="15">
        <v>39227</v>
      </c>
      <c r="H53" s="13" cm="1">
        <f t="array" ref="H53">LN(G53)</f>
        <v>10.5771205641918</v>
      </c>
    </row>
    <row r="54" ht="13.65" customHeight="1">
      <c r="A54" t="s" s="12">
        <v>70</v>
      </c>
      <c r="B54" s="13">
        <v>12.578</v>
      </c>
      <c r="C54" s="13">
        <v>0.02</v>
      </c>
      <c r="D54" s="13">
        <v>54</v>
      </c>
      <c r="E54" s="13">
        <v>5.8</v>
      </c>
      <c r="F54" s="13">
        <v>3.4</v>
      </c>
      <c r="G54" s="15">
        <v>46427</v>
      </c>
      <c r="H54" s="13" cm="1">
        <f t="array" ref="H54">LN(G54)</f>
        <v>10.7456364655299</v>
      </c>
    </row>
    <row r="55" ht="13.55" customHeight="1">
      <c r="A55" s="16"/>
      <c r="B55" s="17"/>
      <c r="C55" s="17"/>
      <c r="D55" s="17"/>
      <c r="E55" s="17"/>
      <c r="F55" s="17"/>
      <c r="G55" s="17"/>
      <c r="H55" s="17"/>
    </row>
    <row r="56" ht="32" customHeight="1">
      <c r="A56" s="18"/>
      <c r="B56" s="19"/>
      <c r="C56" s="8"/>
      <c r="D56" s="8"/>
      <c r="E56" s="8"/>
      <c r="F56" s="8"/>
      <c r="G56" s="8"/>
      <c r="H56" s="8"/>
    </row>
  </sheetData>
  <mergeCells count="1">
    <mergeCell ref="A56:H56"/>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